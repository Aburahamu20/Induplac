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<sst xmlns="http://schemas.openxmlformats.org/spreadsheetml/2006/main" count="499" uniqueCount="249">
  <si>
    <t xml:space="preserve">Induplac IoT — Cargos del equipo (Nota 2, punto 2)</t>
  </si>
  <si>
    <t xml:space="preserve">Autora: Bárbara Saavedra · actualizado 21/10/2026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</si>
  <si>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</si>
  <si>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</si>
  <si>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</si>
  <si>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</si>
  <si>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</si>
  <si>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</si>
  <si>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</si>
  <si>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</si>
  <si>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</si>
  <si>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</si>
  <si>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</si>
  <si>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Redes e integración de sistemas: diseña la arquitectura completa (red, broker, Edge y nube) y coordina el repositorio y el trabajo del equipo.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</si>
  <si>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</si>
  <si>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</si>
  <si>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</si>
  <si>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</si>
  <si>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</si>
  <si>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Electrónica y prototipado IoT: arma el circuito y el firmware del ESP32 (sensores, MQTT con TLS, buffer offline) y resuelve problemas de hardware simulado.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</si>
  <si>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</si>
  <si>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</si>
  <si>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</si>
  <si>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</si>
  <si>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</si>
  <si>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Pendiente (se define con ella).</t>
  </si>
  <si>
    <t xml:space="preserve">Felipe Murúa</t>
  </si>
  <si>
    <t xml:space="preserve">Cloud, backend y ciberseguridad</t>
  </si>
  <si>
    <t xml:space="preserve">AWS en el Learner Lab: API Gateway, Lambda (Python), DynamoDB, RDS PostgreSQL (permisos, umbrales y catálogo) y S3 para publicar el dashboard; reglas de alerta; Cognito con MFA; IAM, TLS y cumplimiento de la Ley 19.628.</t>
  </si>
  <si>
    <t xml:space="preserve">backend/, infrastructure/</t>
  </si>
  <si>
    <t xml:space="preserve">Cloud y seguridad en AWS: configura y administra los servicios (Lambda, RDS, Cognito con MFA, security groups) cuidando el costo y el acceso mínimo.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</si>
  <si>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</si>
  <si>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</si>
  <si>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</si>
  <si>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</si>
  <si>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</si>
  <si>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Planificación y documentación: organiza el proyecto con RACI, Carta Gantt, Scrum y PMI, y traduce lo técnico a documentos claros.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</si>
  <si>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</si>
  <si>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</si>
  <si>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</si>
  <si>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</si>
  <si>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</si>
  <si>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</si>
  <si>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</si>
  <si>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</si>
  <si>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</si>
  <si>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</si>
  <si>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</si>
  <si>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</si>
  <si>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</si>
  <si>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</si>
  <si>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</si>
  <si>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</si>
  <si>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</si>
  <si>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</si>
  <si>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</si>
  <si>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</si>
  <si>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</si>
  <si>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</si>
  <si>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Listo (PR #18)</t>
  </si>
  <si>
    <t xml:space="preserve">Edge Gateway en Python: SQLite, intervalos de 15 min, alertas y sincronización</t>
  </si>
  <si>
    <t xml:space="preserve">Backend AWS y base RDS junto a Felipe</t>
  </si>
  <si>
    <t xml:space="preserve">Listo (PR #16)</t>
  </si>
  <si>
    <t xml:space="preserve">Login del dashboard con Cognito y MFA</t>
  </si>
  <si>
    <t xml:space="preserve">En curso (PR #20, falta probar con Felipe)</t>
  </si>
  <si>
    <t xml:space="preserve">Pipeline DevOps: GitHub Actions (CI en cada PR y despliegue a AWS)</t>
  </si>
  <si>
    <t xml:space="preserve">Listo (PR #21)</t>
  </si>
  <si>
    <t xml:space="preserve">Casos de prueba y ensayo de la demo</t>
  </si>
  <si>
    <t xml:space="preserve">Sebastián</t>
  </si>
  <si>
    <t xml:space="preserve">Sketch ESP32 en Wokwi: Local 1</t>
  </si>
  <si>
    <t xml:space="preserve">Sketch ESP32 en Wokwi: Local 2</t>
  </si>
  <si>
    <t xml:space="preserve">Pendiente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</si>
  <si>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</si>
  <si>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</si>
  <si>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</si>
  <si>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</si>
  <si>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</si>
  <si>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</si>
  <si>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</si>
  <si>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</si>
  <si>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</si>
  <si>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</si>
  <si>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</si>
  <si>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</si>
  <si>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</si>
  <si>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 y alertas)</t>
  </si>
  <si>
    <t xml:space="preserve">Reglas de alerta (+20 % kW, UV ≥ 8, agua y fugas)</t>
  </si>
  <si>
    <t xml:space="preserve">Dashboard publicado en S3</t>
  </si>
  <si>
    <t xml:space="preserve">RDS PostgreSQL: permisos, umbrales y catálogo + Lambda induplac-config</t>
  </si>
  <si>
    <t xml:space="preserve">Re-deploy de la Lambda con alertas del Edge</t>
  </si>
  <si>
    <t xml:space="preserve">Listo (20/10)</t>
  </si>
  <si>
    <t xml:space="preserve">Cognito con MFA (user pool, clave temporal y MFA TOTP)</t>
  </si>
  <si>
    <t xml:space="preserve">Listo: probado en AWS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</si>
  <si>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</si>
  <si>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</si>
  <si>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</si>
  <si>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</si>
  <si>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</si>
  <si>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</si>
  <si>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</si>
  <si>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</si>
  <si>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</si>
  <si>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</si>
  <si>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</si>
  <si>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</si>
  <si>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</si>
  <si>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Actualización de la Nota 2 con lo construido el 20/10</t>
  </si>
  <si>
    <t xml:space="preserve">Listo (PR #25)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</si>
  <si>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</si>
  <si>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</si>
  <si>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</si>
  <si>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</si>
  <si>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</si>
  <si>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</si>
  <si>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</si>
  <si>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</si>
  <si>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</si>
  <si>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</si>
  <si>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</si>
  <si>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</si>
  <si>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</si>
  <si>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</si>
  <si>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</si>
  <si>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</si>
  <si>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</si>
  <si>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</si>
  <si>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</si>
  <si>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</si>
  <si>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</si>
  <si>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</si>
  <si>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Lambdas (ingesta e induplac-config),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</si>
  <si>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</si>
  <si>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</si>
  <si>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</si>
  <si>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</si>
  <si>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</si>
  <si>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pipeline DevOps (GitHub Actions),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</si>
  <si>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</si>
  <si>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</si>
  <si>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</si>
  <si>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</si>
  <si>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</si>
  <si>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 · actualizado 21/10/2026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</si>
  <si>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</si>
  <si>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</si>
  <si>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</si>
  <si>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</si>
  <si>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</si>
  <si>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</si>
  <si>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</si>
  <si>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</si>
  <si>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</si>
  <si>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</si>
  <si>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</si>
  <si>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</si>
  <si>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</si>
  <si>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</si>
  <si>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</si>
  <si>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</si>
  <si>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</si>
  <si>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</si>
  <si>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</si>
  <si>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</si>
  <si>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</si>
  <si>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</si>
  <si>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</si>
  <si>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</si>
  <si>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</si>
  <si>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</si>
  <si>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</si>
  <si>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</si>
  <si>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</si>
  <si>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</si>
  <si>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</si>
  <si>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</si>
  <si>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</si>
  <si>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</si>
  <si>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(datos simulados y API de AWS)</t>
  </si>
  <si>
    <t xml:space="preserve">2.4</t>
  </si>
  <si>
    <t xml:space="preserve">Backend AWS: API Gateway, Lambda, DynamoDB y S3</t>
  </si>
  <si>
    <t xml:space="preserve">Felipe y Abraham</t>
  </si>
  <si>
    <t xml:space="preserve">3</t>
  </si>
  <si>
    <t xml:space="preserve">Sprint 3 – Integración híbrida y demo</t>
  </si>
  <si>
    <t xml:space="preserve">3.1</t>
  </si>
  <si>
    <t xml:space="preserve">ESP32 en Wokwi publicando por MQTT (Local 1 listo; Local 2 pendiente)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</si>
  <si>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</si>
  <si>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</si>
  <si>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</si>
  <si>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</si>
  <si>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</si>
  <si>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Cognito con MFA (probado en AWS; login del dashboard en PR #20)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</si>
  <si>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</si>
  <si>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</si>
  <si>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</si>
  <si>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</si>
  <si>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</si>
  <si>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3.7</t>
  </si>
  <si>
    <t xml:space="preserve">2.3, 3.2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</si>
  <si>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</si>
  <si>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</si>
  <si>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</si>
  <si>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</si>
  <si>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</si>
  <si>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Planificado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</si>
  <si>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</si>
  <si>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</si>
  <si>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</si>
  <si>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</si>
  <si>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</si>
  <si>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</si>
  <si>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</si>
  <si>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</si>
  <si>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</si>
  <si>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</si>
  <si>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</si>
  <si>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</si>
  <si>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</si>
  <si>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</si>
  <si>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</si>
  <si>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</si>
  <si>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</si>
  <si>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</si>
  <si>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</si>
  <si>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</si>
  <si>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</si>
  <si>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</si>
  <si>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</si>
  <si>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</si>
  <si>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</si>
  <si>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</si>
  <si>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</si>
  <si>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</si>
  <si>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</si>
  <si>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Cumplido</t>
  </si>
  <si>
    <t xml:space="preserve">5.2</t>
  </si>
  <si>
    <t xml:space="preserve">◆ MVP funcionando de punta a punta (Wokwi → EMQX → Edge → AWS)</t>
  </si>
  <si>
    <t xml:space="preserve">5.3</t>
  </si>
  <si>
    <t xml:space="preserve">◆ Demostración del prototipo (miércoles 21/10)</t>
  </si>
  <si>
    <t xml:space="preserve">Hoy</t>
  </si>
  <si>
    <t xml:space="preserve">5.4</t>
  </si>
  <si>
    <t xml:space="preserve">◆ Acta de inicio con Induplac</t>
  </si>
  <si>
    <t xml:space="preserve">5.5</t>
  </si>
  <si>
    <t xml:space="preserve">◆ Pruebas aprobadas</t>
  </si>
  <si>
    <t xml:space="preserve">5.6</t>
  </si>
  <si>
    <t xml:space="preserve">◆ Puesta en marcha</t>
  </si>
  <si>
    <t xml:space="preserve">Colores por responsable (si hay dos, manda el primero):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</si>
  <si>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</si>
  <si>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Estado: Listo / Cumplido = terminado · En curso / Hoy = en desarrollo · Pendiente = atrasado o sin empezar · Planificado = implementación futura.</t>
  </si>
  <si>
    <t xml:space="preserve">Cambios 19/10: RDS PostgreSQL vuelve al MVP (3.3). Cambios 21/10: columna Estado, tarea 3.7 Pipeline DevOps, hito 5.2 MVP de punta a punta (20/10) y responsables compartidos Felipe y Abraham en 2.4, 3.3 y 3.4.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</si>
</sst>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46.2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 t="s">
        <v>13</v>
      </c>
    </row>
    <row r="6" customFormat="false" ht="57.45" hidden="false" customHeight="false" outlineLevel="0" collapsed="false">
      <c r="A6" s="4" t="s">
        <v>14</v>
      </c>
      <c r="B6" s="4" t="s">
        <v>15</v>
      </c>
      <c r="C6" s="4" t="s">
        <v>16</v>
      </c>
      <c r="D6" s="4" t="s">
        <v>17</v>
      </c>
      <c r="E6" s="4" t="s">
        <v>18</v>
      </c>
      <c r="F6" s="5" t="s">
        <v>19</v>
      </c>
    </row>
    <row r="7" customFormat="false" ht="46.25" hidden="false" customHeight="false" outlineLevel="0" collapsed="false">
      <c r="A7" s="4" t="s">
        <v>20</v>
      </c>
      <c r="B7" s="4" t="s">
        <v>21</v>
      </c>
      <c r="C7" s="4" t="s">
        <v>22</v>
      </c>
      <c r="D7" s="4" t="s">
        <v>23</v>
      </c>
      <c r="E7" s="4" t="s">
        <v>24</v>
      </c>
      <c r="F7" s="6" t="s">
        <v>25</v>
      </c>
    </row>
    <row r="8" customFormat="false" ht="57.45" hidden="false" customHeight="false" outlineLevel="0" collapsed="false">
      <c r="A8" s="4" t="s">
        <v>26</v>
      </c>
      <c r="B8" s="4" t="s">
        <v>27</v>
      </c>
      <c r="C8" s="4" t="s">
        <v>28</v>
      </c>
      <c r="D8" s="4" t="s">
        <v>29</v>
      </c>
      <c r="E8" s="4" t="s">
        <v>18</v>
      </c>
      <c r="F8" s="5" t="s">
        <v>30</v>
      </c>
    </row>
    <row r="9" customFormat="false" ht="46.25" hidden="false" customHeight="false" outlineLevel="0" collapsed="false">
      <c r="A9" s="4" t="s">
        <v>31</v>
      </c>
      <c r="B9" s="4" t="s">
        <v>32</v>
      </c>
      <c r="C9" s="4" t="s">
        <v>33</v>
      </c>
      <c r="D9" s="4" t="s">
        <v>34</v>
      </c>
      <c r="E9" s="4" t="s">
        <v>35</v>
      </c>
      <c r="F9" s="5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3" t="s">
        <v>38</v>
      </c>
      <c r="B12" s="3" t="s">
        <v>2</v>
      </c>
      <c r="C12" s="3" t="s">
        <v>39</v>
      </c>
      <c r="D12" s="3"/>
      <c r="E12" s="3"/>
      <c r="F12" s="3"/>
    </row>
    <row r="13" customFormat="false" ht="15" hidden="false" customHeight="false" outlineLevel="0" collapsed="false">
      <c r="A13" s="4" t="s">
        <v>40</v>
      </c>
      <c r="B13" s="4" t="s">
        <v>8</v>
      </c>
      <c r="C13" s="4" t="s">
        <v>41</v>
      </c>
    </row>
    <row r="14" customFormat="false" ht="15" hidden="false" customHeight="false" outlineLevel="0" collapsed="false">
      <c r="A14" s="4" t="s">
        <v>42</v>
      </c>
      <c r="B14" s="4" t="s">
        <v>31</v>
      </c>
      <c r="C14" s="4" t="s">
        <v>43</v>
      </c>
    </row>
    <row r="15" customFormat="false" ht="15" hidden="false" customHeight="false" outlineLevel="0" collapsed="false">
      <c r="A15" s="4" t="s">
        <v>44</v>
      </c>
      <c r="B15" s="4" t="s">
        <v>45</v>
      </c>
      <c r="C1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47</v>
      </c>
    </row>
    <row r="3" customFormat="false" ht="15" hidden="false" customHeight="false" outlineLevel="0" collapsed="false">
      <c r="A3" s="3" t="s">
        <v>2</v>
      </c>
      <c r="B3" s="3" t="s">
        <v>48</v>
      </c>
      <c r="C3" s="3" t="s">
        <v>49</v>
      </c>
      <c r="D3" s="3" t="s">
        <v>50</v>
      </c>
    </row>
    <row r="4" customFormat="false" ht="15" hidden="false" customHeight="false" outlineLevel="0" collapsed="false">
      <c r="A4" s="8" t="s">
        <v>51</v>
      </c>
      <c r="B4" s="4" t="s">
        <v>52</v>
      </c>
      <c r="C4" s="4" t="s">
        <v>53</v>
      </c>
      <c r="D4" s="4" t="s">
        <v>54</v>
      </c>
    </row>
    <row r="5" customFormat="false" ht="15" hidden="false" customHeight="false" outlineLevel="0" collapsed="false">
      <c r="A5" s="8" t="s">
        <v>51</v>
      </c>
      <c r="B5" s="4" t="s">
        <v>55</v>
      </c>
      <c r="C5" s="4" t="s">
        <v>56</v>
      </c>
      <c r="D5" s="4" t="s">
        <v>57</v>
      </c>
    </row>
    <row r="6" customFormat="false" ht="15" hidden="false" customHeight="false" outlineLevel="0" collapsed="false">
      <c r="A6" s="8" t="s">
        <v>51</v>
      </c>
      <c r="B6" s="4" t="s">
        <v>58</v>
      </c>
      <c r="C6" s="4" t="s">
        <v>18</v>
      </c>
      <c r="D6" s="4" t="s">
        <v>59</v>
      </c>
    </row>
    <row r="7" customFormat="false" ht="15" hidden="false" customHeight="false" outlineLevel="0" collapsed="false">
      <c r="A7" s="8" t="s">
        <v>51</v>
      </c>
      <c r="B7" s="4" t="s">
        <v>60</v>
      </c>
      <c r="C7" s="4" t="s">
        <v>24</v>
      </c>
      <c r="D7" s="4" t="s">
        <v>59</v>
      </c>
    </row>
    <row r="8" customFormat="false" ht="15" hidden="false" customHeight="false" outlineLevel="0" collapsed="false">
      <c r="A8" s="8" t="s">
        <v>51</v>
      </c>
      <c r="B8" s="4" t="s">
        <v>61</v>
      </c>
      <c r="C8" s="4" t="s">
        <v>18</v>
      </c>
      <c r="D8" s="4" t="s">
        <v>62</v>
      </c>
    </row>
    <row r="9" customFormat="false" ht="23.85" hidden="false" customHeight="false" outlineLevel="0" collapsed="false">
      <c r="A9" s="8" t="s">
        <v>51</v>
      </c>
      <c r="B9" s="4" t="s">
        <v>63</v>
      </c>
      <c r="C9" s="4" t="s">
        <v>24</v>
      </c>
      <c r="D9" s="4" t="s">
        <v>64</v>
      </c>
    </row>
    <row r="10" customFormat="false" ht="15" hidden="false" customHeight="false" outlineLevel="0" collapsed="false">
      <c r="A10" s="8" t="s">
        <v>51</v>
      </c>
      <c r="B10" s="4" t="s">
        <v>65</v>
      </c>
      <c r="C10" s="4" t="s">
        <v>24</v>
      </c>
      <c r="D10" s="4" t="s">
        <v>66</v>
      </c>
    </row>
    <row r="11" customFormat="false" ht="15" hidden="false" customHeight="false" outlineLevel="0" collapsed="false">
      <c r="A11" s="8" t="s">
        <v>51</v>
      </c>
      <c r="B11" s="4" t="s">
        <v>67</v>
      </c>
      <c r="C11" s="4" t="s">
        <v>24</v>
      </c>
      <c r="D11" s="4" t="s">
        <v>54</v>
      </c>
    </row>
    <row r="12" customFormat="false" ht="15" hidden="false" customHeight="false" outlineLevel="0" collapsed="false">
      <c r="A12" s="9" t="s">
        <v>68</v>
      </c>
      <c r="B12" s="4" t="s">
        <v>69</v>
      </c>
      <c r="C12" s="4" t="s">
        <v>18</v>
      </c>
      <c r="D12" s="4" t="s">
        <v>62</v>
      </c>
    </row>
    <row r="13" customFormat="false" ht="15" hidden="false" customHeight="false" outlineLevel="0" collapsed="false">
      <c r="A13" s="9" t="s">
        <v>68</v>
      </c>
      <c r="B13" s="4" t="s">
        <v>70</v>
      </c>
      <c r="C13" s="4" t="s">
        <v>24</v>
      </c>
      <c r="D13" s="4" t="s">
        <v>71</v>
      </c>
    </row>
    <row r="14" customFormat="false" ht="15" hidden="false" customHeight="false" outlineLevel="0" collapsed="false">
      <c r="A14" s="9" t="s">
        <v>68</v>
      </c>
      <c r="B14" s="4" t="s">
        <v>72</v>
      </c>
      <c r="C14" s="4" t="s">
        <v>24</v>
      </c>
      <c r="D14" s="4" t="s">
        <v>62</v>
      </c>
    </row>
    <row r="15" customFormat="false" ht="15" hidden="false" customHeight="false" outlineLevel="0" collapsed="false">
      <c r="A15" s="9" t="s">
        <v>68</v>
      </c>
      <c r="B15" s="4" t="s">
        <v>73</v>
      </c>
      <c r="C15" s="4" t="s">
        <v>24</v>
      </c>
      <c r="D15" s="4" t="s">
        <v>62</v>
      </c>
    </row>
    <row r="16" customFormat="false" ht="15" hidden="false" customHeight="false" outlineLevel="0" collapsed="false">
      <c r="A16" s="9" t="s">
        <v>68</v>
      </c>
      <c r="B16" s="4" t="s">
        <v>74</v>
      </c>
      <c r="C16" s="4" t="s">
        <v>24</v>
      </c>
      <c r="D16" s="4" t="s">
        <v>62</v>
      </c>
    </row>
    <row r="17" customFormat="false" ht="15" hidden="false" customHeight="false" outlineLevel="0" collapsed="false">
      <c r="A17" s="9" t="s">
        <v>68</v>
      </c>
      <c r="B17" s="4" t="s">
        <v>75</v>
      </c>
      <c r="C17" s="4" t="s">
        <v>24</v>
      </c>
      <c r="D17" s="4" t="s">
        <v>54</v>
      </c>
    </row>
    <row r="18" customFormat="false" ht="15" hidden="false" customHeight="false" outlineLevel="0" collapsed="false">
      <c r="A18" s="10" t="s">
        <v>76</v>
      </c>
      <c r="B18" s="4" t="s">
        <v>77</v>
      </c>
      <c r="C18" s="4" t="s">
        <v>24</v>
      </c>
      <c r="D18" s="4" t="s">
        <v>71</v>
      </c>
    </row>
    <row r="19" customFormat="false" ht="15" hidden="false" customHeight="false" outlineLevel="0" collapsed="false">
      <c r="A19" s="10" t="s">
        <v>76</v>
      </c>
      <c r="B19" s="4" t="s">
        <v>78</v>
      </c>
      <c r="C19" s="4" t="s">
        <v>24</v>
      </c>
      <c r="D19" s="4" t="s">
        <v>71</v>
      </c>
    </row>
    <row r="20" customFormat="false" ht="15" hidden="false" customHeight="false" outlineLevel="0" collapsed="false">
      <c r="A20" s="10" t="s">
        <v>76</v>
      </c>
      <c r="B20" s="4" t="s">
        <v>79</v>
      </c>
      <c r="C20" s="4" t="s">
        <v>24</v>
      </c>
      <c r="D20" s="4" t="s">
        <v>71</v>
      </c>
    </row>
    <row r="21" customFormat="false" ht="15" hidden="false" customHeight="false" outlineLevel="0" collapsed="false">
      <c r="A21" s="10" t="s">
        <v>76</v>
      </c>
      <c r="B21" s="4" t="s">
        <v>80</v>
      </c>
      <c r="C21" s="4" t="s">
        <v>81</v>
      </c>
      <c r="D21" s="4" t="s">
        <v>71</v>
      </c>
    </row>
    <row r="22" customFormat="false" ht="15" hidden="false" customHeight="false" outlineLevel="0" collapsed="false">
      <c r="A22" s="11" t="s">
        <v>82</v>
      </c>
      <c r="B22" s="4" t="s">
        <v>83</v>
      </c>
      <c r="C22" s="4" t="s">
        <v>56</v>
      </c>
      <c r="D22" s="4" t="s">
        <v>84</v>
      </c>
    </row>
    <row r="23" customFormat="false" ht="15" hidden="false" customHeight="false" outlineLevel="0" collapsed="false">
      <c r="A23" s="11" t="s">
        <v>82</v>
      </c>
      <c r="B23" s="4" t="s">
        <v>85</v>
      </c>
      <c r="C23" s="4" t="s">
        <v>56</v>
      </c>
      <c r="D23" s="4" t="s">
        <v>84</v>
      </c>
    </row>
    <row r="24" customFormat="false" ht="15" hidden="false" customHeight="false" outlineLevel="0" collapsed="false">
      <c r="A24" s="11" t="s">
        <v>82</v>
      </c>
      <c r="B24" s="4" t="s">
        <v>86</v>
      </c>
      <c r="C24" s="4" t="s">
        <v>56</v>
      </c>
      <c r="D24" s="4" t="s">
        <v>84</v>
      </c>
    </row>
    <row r="25" customFormat="false" ht="15" hidden="false" customHeight="false" outlineLevel="0" collapsed="false">
      <c r="A25" s="11" t="s">
        <v>82</v>
      </c>
      <c r="B25" s="4" t="s">
        <v>87</v>
      </c>
      <c r="C25" s="4" t="s">
        <v>56</v>
      </c>
      <c r="D25" s="4" t="s">
        <v>84</v>
      </c>
    </row>
    <row r="26" customFormat="false" ht="15" hidden="false" customHeight="false" outlineLevel="0" collapsed="false">
      <c r="A26" s="11" t="s">
        <v>82</v>
      </c>
      <c r="B26" s="4" t="s">
        <v>88</v>
      </c>
      <c r="C26" s="4" t="s">
        <v>24</v>
      </c>
      <c r="D26" s="4" t="s">
        <v>62</v>
      </c>
    </row>
    <row r="27" customFormat="false" ht="15" hidden="false" customHeight="false" outlineLevel="0" collapsed="false">
      <c r="A27" s="11" t="s">
        <v>82</v>
      </c>
      <c r="B27" s="4" t="s">
        <v>89</v>
      </c>
      <c r="C27" s="4" t="s">
        <v>24</v>
      </c>
      <c r="D27" s="4" t="s">
        <v>90</v>
      </c>
    </row>
    <row r="28" customFormat="false" ht="15" hidden="false" customHeight="false" outlineLevel="0" collapsed="false">
      <c r="A28" s="11" t="s">
        <v>82</v>
      </c>
      <c r="B28" s="4" t="s">
        <v>91</v>
      </c>
      <c r="C28" s="4" t="s">
        <v>24</v>
      </c>
      <c r="D28" s="4" t="s">
        <v>92</v>
      </c>
    </row>
    <row r="29" customFormat="false" ht="15" hidden="false" customHeight="false" outlineLevel="0" collapsed="false">
      <c r="A29" s="11" t="s">
        <v>82</v>
      </c>
      <c r="B29" s="4" t="s">
        <v>93</v>
      </c>
      <c r="C29" s="4" t="s">
        <v>24</v>
      </c>
      <c r="D29" s="4" t="s">
        <v>54</v>
      </c>
    </row>
    <row r="30" customFormat="false" ht="15" hidden="false" customHeight="false" outlineLevel="0" collapsed="false">
      <c r="A30" s="12" t="s">
        <v>94</v>
      </c>
      <c r="B30" s="4" t="s">
        <v>95</v>
      </c>
      <c r="C30" s="4" t="s">
        <v>24</v>
      </c>
      <c r="D30" s="4" t="s">
        <v>96</v>
      </c>
    </row>
    <row r="31" customFormat="false" ht="15" hidden="false" customHeight="false" outlineLevel="0" collapsed="false">
      <c r="A31" s="12" t="s">
        <v>94</v>
      </c>
      <c r="B31" s="4" t="s">
        <v>97</v>
      </c>
      <c r="C31" s="4" t="s">
        <v>24</v>
      </c>
      <c r="D31" s="4" t="s">
        <v>96</v>
      </c>
    </row>
    <row r="32" customFormat="false" ht="15" hidden="false" customHeight="false" outlineLevel="0" collapsed="false">
      <c r="A32" s="12" t="s">
        <v>94</v>
      </c>
      <c r="B32" s="4" t="s">
        <v>98</v>
      </c>
      <c r="C32" s="4" t="s">
        <v>24</v>
      </c>
      <c r="D32" s="4" t="s">
        <v>99</v>
      </c>
    </row>
    <row r="33" customFormat="false" ht="15" hidden="false" customHeight="false" outlineLevel="0" collapsed="false">
      <c r="A33" s="12" t="s">
        <v>94</v>
      </c>
      <c r="B33" s="4" t="s">
        <v>100</v>
      </c>
      <c r="C33" s="4" t="s">
        <v>24</v>
      </c>
      <c r="D33" s="4" t="s">
        <v>101</v>
      </c>
    </row>
    <row r="34" customFormat="false" ht="15" hidden="false" customHeight="false" outlineLevel="0" collapsed="false">
      <c r="A34" s="12" t="s">
        <v>94</v>
      </c>
      <c r="B34" s="4" t="s">
        <v>102</v>
      </c>
      <c r="C34" s="4" t="s">
        <v>24</v>
      </c>
      <c r="D34" s="4" t="s">
        <v>103</v>
      </c>
    </row>
    <row r="35" customFormat="false" ht="15" hidden="false" customHeight="false" outlineLevel="0" collapsed="false">
      <c r="A35" s="12" t="s">
        <v>94</v>
      </c>
      <c r="B35" s="4" t="s">
        <v>104</v>
      </c>
      <c r="C35" s="4" t="s">
        <v>24</v>
      </c>
      <c r="D35" s="4" t="s">
        <v>105</v>
      </c>
    </row>
    <row r="36" customFormat="false" ht="15" hidden="false" customHeight="false" outlineLevel="0" collapsed="false">
      <c r="A36" s="12" t="s">
        <v>94</v>
      </c>
      <c r="B36" s="4" t="s">
        <v>106</v>
      </c>
      <c r="C36" s="4" t="s">
        <v>24</v>
      </c>
      <c r="D36" s="4" t="s">
        <v>107</v>
      </c>
    </row>
    <row r="37" customFormat="false" ht="15" hidden="false" customHeight="false" outlineLevel="0" collapsed="false">
      <c r="A37" s="12" t="s">
        <v>94</v>
      </c>
      <c r="B37" s="4" t="s">
        <v>108</v>
      </c>
      <c r="C37" s="4" t="s">
        <v>81</v>
      </c>
      <c r="D37" s="4" t="s">
        <v>71</v>
      </c>
    </row>
    <row r="39" customFormat="false" ht="15" hidden="false" customHeight="false" outlineLevel="0" collapsed="false">
      <c r="A39" s="13" t="s">
        <v>109</v>
      </c>
    </row>
    <row r="40" customFormat="false" ht="15" hidden="false" customHeight="false" outlineLevel="0" collapsed="false">
      <c r="A40" s="3" t="s">
        <v>2</v>
      </c>
      <c r="B40" s="3" t="s">
        <v>110</v>
      </c>
      <c r="C40" s="3" t="s">
        <v>111</v>
      </c>
      <c r="D40" s="3" t="s">
        <v>112</v>
      </c>
    </row>
    <row r="41" customFormat="false" ht="15" hidden="false" customHeight="false" outlineLevel="0" collapsed="false">
      <c r="A41" s="14" t="s">
        <v>51</v>
      </c>
      <c r="B41" s="14" t="n">
        <f aca="false">COUNTIF($A$4:$A$37,A41)</f>
        <v>8</v>
      </c>
      <c r="C41" s="14" t="n">
        <f aca="false">COUNTIFS($A$4:$A$37,A41,$D$4:$D$37,"Listo*")</f>
        <v>5</v>
      </c>
      <c r="D41" s="14" t="n">
        <f aca="false">B41-C41</f>
        <v>3</v>
      </c>
    </row>
    <row r="42" customFormat="false" ht="15" hidden="false" customHeight="false" outlineLevel="0" collapsed="false">
      <c r="A42" s="14" t="s">
        <v>68</v>
      </c>
      <c r="B42" s="14" t="n">
        <f aca="false">COUNTIF($A$4:$A$37,A42)</f>
        <v>6</v>
      </c>
      <c r="C42" s="14" t="n">
        <f aca="false">COUNTIFS($A$4:$A$37,A42,$D$4:$D$37,"Listo*")</f>
        <v>4</v>
      </c>
      <c r="D42" s="14" t="n">
        <f aca="false">B42-C42</f>
        <v>2</v>
      </c>
    </row>
    <row r="43" customFormat="false" ht="15" hidden="false" customHeight="false" outlineLevel="0" collapsed="false">
      <c r="A43" s="14" t="s">
        <v>76</v>
      </c>
      <c r="B43" s="14" t="n">
        <f aca="false">COUNTIF($A$4:$A$37,A43)</f>
        <v>4</v>
      </c>
      <c r="C43" s="14" t="n">
        <f aca="false">COUNTIFS($A$4:$A$37,A43,$D$4:$D$37,"Listo*")</f>
        <v>0</v>
      </c>
      <c r="D43" s="14" t="n">
        <f aca="false">B43-C43</f>
        <v>4</v>
      </c>
    </row>
    <row r="44" customFormat="false" ht="15" hidden="false" customHeight="false" outlineLevel="0" collapsed="false">
      <c r="A44" s="14" t="s">
        <v>82</v>
      </c>
      <c r="B44" s="14" t="n">
        <f aca="false">COUNTIF($A$4:$A$37,A44)</f>
        <v>8</v>
      </c>
      <c r="C44" s="14" t="n">
        <f aca="false">COUNTIFS($A$4:$A$37,A44,$D$4:$D$37,"Listo*")</f>
        <v>7</v>
      </c>
      <c r="D44" s="14" t="n">
        <f aca="false">B44-C44</f>
        <v>1</v>
      </c>
    </row>
    <row r="45" customFormat="false" ht="15" hidden="false" customHeight="false" outlineLevel="0" collapsed="false">
      <c r="A45" s="14" t="s">
        <v>94</v>
      </c>
      <c r="B45" s="14" t="n">
        <f aca="false">COUNTIF($A$4:$A$37,A45)</f>
        <v>8</v>
      </c>
      <c r="C45" s="14" t="n">
        <f aca="false">COUNTIFS($A$4:$A$37,A45,$D$4:$D$37,"Listo*")</f>
        <v>7</v>
      </c>
      <c r="D45" s="14" t="n">
        <f aca="false">B45-C45</f>
        <v>1</v>
      </c>
    </row>
  </sheetData>
  <conditionalFormatting sqref="D4:D37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LEFT(D4,8)="En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42" hidden="false" customHeight="true" outlineLevel="0" collapsed="false">
      <c r="A4" s="3" t="s">
        <v>115</v>
      </c>
      <c r="B4" s="3" t="s">
        <v>116</v>
      </c>
      <c r="C4" s="3" t="s">
        <v>117</v>
      </c>
      <c r="D4" s="3" t="s">
        <v>118</v>
      </c>
      <c r="E4" s="3" t="s">
        <v>119</v>
      </c>
      <c r="F4" s="3" t="s">
        <v>120</v>
      </c>
      <c r="G4" s="3" t="s">
        <v>121</v>
      </c>
      <c r="H4" s="3" t="s">
        <v>122</v>
      </c>
    </row>
    <row r="5" customFormat="false" ht="23.85" hidden="false" customHeight="false" outlineLevel="0" collapsed="false">
      <c r="A5" s="14" t="n">
        <v>1</v>
      </c>
      <c r="B5" s="4" t="s">
        <v>123</v>
      </c>
      <c r="C5" s="15" t="s">
        <v>124</v>
      </c>
      <c r="D5" s="15" t="s">
        <v>125</v>
      </c>
      <c r="E5" s="15" t="s">
        <v>126</v>
      </c>
      <c r="F5" s="15" t="s">
        <v>126</v>
      </c>
      <c r="G5" s="15" t="s">
        <v>126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55</v>
      </c>
      <c r="C6" s="15" t="s">
        <v>125</v>
      </c>
      <c r="D6" s="15" t="s">
        <v>124</v>
      </c>
      <c r="E6" s="15" t="s">
        <v>126</v>
      </c>
      <c r="F6" s="15" t="s">
        <v>124</v>
      </c>
      <c r="G6" s="15" t="s">
        <v>126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127</v>
      </c>
      <c r="C7" s="15" t="s">
        <v>125</v>
      </c>
      <c r="D7" s="15" t="s">
        <v>124</v>
      </c>
      <c r="E7" s="15" t="s">
        <v>124</v>
      </c>
      <c r="F7" s="15" t="s">
        <v>124</v>
      </c>
      <c r="G7" s="15" t="s">
        <v>126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128</v>
      </c>
      <c r="C8" s="15" t="s">
        <v>125</v>
      </c>
      <c r="D8" s="15" t="s">
        <v>126</v>
      </c>
      <c r="E8" s="15" t="s">
        <v>129</v>
      </c>
      <c r="F8" s="15" t="s">
        <v>124</v>
      </c>
      <c r="G8" s="15" t="s">
        <v>126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130</v>
      </c>
      <c r="C9" s="15" t="s">
        <v>129</v>
      </c>
      <c r="D9" s="15" t="s">
        <v>126</v>
      </c>
      <c r="E9" s="15" t="s">
        <v>124</v>
      </c>
      <c r="F9" s="15" t="s">
        <v>125</v>
      </c>
      <c r="G9" s="15" t="s">
        <v>126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131</v>
      </c>
      <c r="C10" s="15" t="s">
        <v>125</v>
      </c>
      <c r="D10" s="15" t="s">
        <v>126</v>
      </c>
      <c r="E10" s="15" t="s">
        <v>126</v>
      </c>
      <c r="F10" s="15" t="s">
        <v>124</v>
      </c>
      <c r="G10" s="15" t="s">
        <v>124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132</v>
      </c>
      <c r="C11" s="15" t="s">
        <v>124</v>
      </c>
      <c r="D11" s="15" t="s">
        <v>126</v>
      </c>
      <c r="E11" s="15" t="s">
        <v>126</v>
      </c>
      <c r="F11" s="15" t="s">
        <v>125</v>
      </c>
      <c r="G11" s="15" t="s">
        <v>126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133</v>
      </c>
      <c r="C12" s="15" t="s">
        <v>124</v>
      </c>
      <c r="D12" s="15" t="s">
        <v>124</v>
      </c>
      <c r="E12" s="15" t="s">
        <v>124</v>
      </c>
      <c r="F12" s="15" t="s">
        <v>124</v>
      </c>
      <c r="G12" s="15" t="s">
        <v>125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134</v>
      </c>
      <c r="C13" s="15" t="s">
        <v>135</v>
      </c>
      <c r="D13" s="15" t="s">
        <v>129</v>
      </c>
      <c r="E13" s="15" t="s">
        <v>129</v>
      </c>
      <c r="F13" s="15" t="s">
        <v>124</v>
      </c>
      <c r="G13" s="15" t="s">
        <v>124</v>
      </c>
      <c r="H13" s="14" t="str">
        <f aca="false">IF(AND(COUNTIF(C13:G13,"*R*")&gt;=1,COUNTIF(C13:G13,"A*")=1),"OK","Revisar")</f>
        <v>OK</v>
      </c>
    </row>
    <row r="14" customFormat="false" ht="23.85" hidden="false" customHeight="false" outlineLevel="0" collapsed="false">
      <c r="A14" s="14" t="n">
        <v>10</v>
      </c>
      <c r="B14" s="4" t="s">
        <v>136</v>
      </c>
      <c r="C14" s="15" t="s">
        <v>125</v>
      </c>
      <c r="D14" s="15" t="s">
        <v>129</v>
      </c>
      <c r="E14" s="15" t="s">
        <v>129</v>
      </c>
      <c r="F14" s="15" t="s">
        <v>129</v>
      </c>
      <c r="G14" s="15" t="s">
        <v>129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137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138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139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21" min="10" style="0" width="6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17" t="s">
        <v>141</v>
      </c>
      <c r="E2" s="18" t="n">
        <v>46300</v>
      </c>
      <c r="G2" s="2" t="s">
        <v>142</v>
      </c>
    </row>
    <row r="4" customFormat="false" ht="30" hidden="false" customHeight="true" outlineLevel="0" collapsed="false">
      <c r="A4" s="3" t="s">
        <v>143</v>
      </c>
      <c r="B4" s="3" t="s">
        <v>48</v>
      </c>
      <c r="C4" s="3" t="s">
        <v>144</v>
      </c>
      <c r="D4" s="3" t="s">
        <v>145</v>
      </c>
      <c r="E4" s="3" t="s">
        <v>146</v>
      </c>
      <c r="F4" s="3" t="s">
        <v>147</v>
      </c>
      <c r="G4" s="3" t="s">
        <v>148</v>
      </c>
      <c r="H4" s="3" t="s">
        <v>149</v>
      </c>
      <c r="I4" s="3" t="s">
        <v>50</v>
      </c>
      <c r="J4" s="3" t="s">
        <v>150</v>
      </c>
      <c r="K4" s="3" t="s">
        <v>151</v>
      </c>
      <c r="L4" s="3" t="s">
        <v>152</v>
      </c>
      <c r="M4" s="3" t="s">
        <v>153</v>
      </c>
      <c r="N4" s="3" t="s">
        <v>154</v>
      </c>
      <c r="O4" s="3" t="s">
        <v>155</v>
      </c>
      <c r="P4" s="3" t="s">
        <v>156</v>
      </c>
      <c r="Q4" s="3" t="s">
        <v>157</v>
      </c>
      <c r="R4" s="3" t="s">
        <v>158</v>
      </c>
      <c r="S4" s="3" t="s">
        <v>159</v>
      </c>
      <c r="T4" s="3" t="s">
        <v>160</v>
      </c>
      <c r="U4" s="3" t="s">
        <v>161</v>
      </c>
    </row>
    <row r="5" customFormat="false" ht="15" hidden="false" customHeight="false" outlineLevel="0" collapsed="false">
      <c r="B5" s="19" t="s">
        <v>162</v>
      </c>
      <c r="J5" s="20" t="n">
        <f aca="false">$E$2+0</f>
        <v>46300</v>
      </c>
      <c r="K5" s="20" t="n">
        <f aca="false">$E$2+7</f>
        <v>46307</v>
      </c>
      <c r="L5" s="20" t="n">
        <f aca="false">$E$2+14</f>
        <v>46314</v>
      </c>
      <c r="M5" s="20" t="n">
        <f aca="false">$E$2+21</f>
        <v>46321</v>
      </c>
      <c r="N5" s="20" t="n">
        <f aca="false">$E$2+28</f>
        <v>46328</v>
      </c>
      <c r="O5" s="20" t="n">
        <f aca="false">$E$2+35</f>
        <v>46335</v>
      </c>
      <c r="P5" s="20" t="n">
        <f aca="false">$E$2+42</f>
        <v>46342</v>
      </c>
      <c r="Q5" s="20" t="n">
        <f aca="false">$E$2+49</f>
        <v>46349</v>
      </c>
      <c r="R5" s="20" t="n">
        <f aca="false">$E$2+56</f>
        <v>46356</v>
      </c>
      <c r="S5" s="20" t="n">
        <f aca="false">$E$2+63</f>
        <v>46363</v>
      </c>
      <c r="T5" s="20" t="n">
        <f aca="false">$E$2+70</f>
        <v>46370</v>
      </c>
      <c r="U5" s="20" t="n">
        <f aca="false">$E$2+77</f>
        <v>46377</v>
      </c>
    </row>
    <row r="6" customFormat="false" ht="15" hidden="false" customHeight="false" outlineLevel="0" collapsed="false">
      <c r="A6" s="21" t="s">
        <v>163</v>
      </c>
      <c r="B6" s="21" t="s">
        <v>164</v>
      </c>
      <c r="C6" s="21"/>
      <c r="D6" s="21" t="s">
        <v>165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</row>
    <row r="7" customFormat="false" ht="15" hidden="false" customHeight="false" outlineLevel="0" collapsed="false">
      <c r="A7" s="14" t="s">
        <v>166</v>
      </c>
      <c r="B7" s="4" t="s">
        <v>167</v>
      </c>
      <c r="C7" s="14" t="s">
        <v>51</v>
      </c>
      <c r="D7" s="4" t="s">
        <v>165</v>
      </c>
      <c r="E7" s="22" t="n">
        <v>46300</v>
      </c>
      <c r="F7" s="23" t="n">
        <v>1</v>
      </c>
      <c r="G7" s="24" t="n">
        <f aca="false">E7+F7*7-3</f>
        <v>46304</v>
      </c>
      <c r="H7" s="14" t="s">
        <v>168</v>
      </c>
      <c r="I7" s="14" t="s">
        <v>84</v>
      </c>
      <c r="J7" s="25" t="str">
        <f aca="false">IF(AND(J$5&gt;=$E7-6,J$5&lt;=$G7),"■","")</f>
        <v>■</v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  <c r="U7" s="25" t="str">
        <f aca="false">IF(AND(U$5&gt;=$E7-6,U$5&lt;=$G7),"■","")</f>
        <v/>
      </c>
    </row>
    <row r="8" customFormat="false" ht="23.85" hidden="false" customHeight="false" outlineLevel="0" collapsed="false">
      <c r="A8" s="14" t="s">
        <v>169</v>
      </c>
      <c r="B8" s="4" t="s">
        <v>170</v>
      </c>
      <c r="C8" s="14" t="s">
        <v>94</v>
      </c>
      <c r="D8" s="4" t="s">
        <v>18</v>
      </c>
      <c r="E8" s="22" t="n">
        <v>46307</v>
      </c>
      <c r="F8" s="23" t="n">
        <v>2</v>
      </c>
      <c r="G8" s="24" t="n">
        <f aca="false">E8+F8*7-3</f>
        <v>46318</v>
      </c>
      <c r="H8" s="14" t="s">
        <v>166</v>
      </c>
      <c r="I8" s="14" t="s">
        <v>84</v>
      </c>
      <c r="J8" s="25" t="str">
        <f aca="false">IF(AND(J$5&gt;=$E8-6,J$5&lt;=$G8),"■","")</f>
        <v/>
      </c>
      <c r="K8" s="25" t="str">
        <f aca="false">IF(AND(K$5&gt;=$E8-6,K$5&lt;=$G8),"■","")</f>
        <v>■</v>
      </c>
      <c r="L8" s="25" t="str">
        <f aca="false">IF(AND(L$5&gt;=$E8-6,L$5&lt;=$G8),"■","")</f>
        <v>■</v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  <c r="U8" s="25" t="str">
        <f aca="false">IF(AND(U$5&gt;=$E8-6,U$5&lt;=$G8),"■","")</f>
        <v/>
      </c>
    </row>
    <row r="9" customFormat="false" ht="15" hidden="false" customHeight="false" outlineLevel="0" collapsed="false">
      <c r="A9" s="21" t="s">
        <v>171</v>
      </c>
      <c r="B9" s="21" t="s">
        <v>172</v>
      </c>
      <c r="C9" s="21"/>
      <c r="D9" s="21" t="s">
        <v>56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</row>
    <row r="10" customFormat="false" ht="15" hidden="false" customHeight="false" outlineLevel="0" collapsed="false">
      <c r="A10" s="14" t="s">
        <v>173</v>
      </c>
      <c r="B10" s="4" t="s">
        <v>174</v>
      </c>
      <c r="C10" s="14" t="s">
        <v>51</v>
      </c>
      <c r="D10" s="4" t="s">
        <v>56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166</v>
      </c>
      <c r="I10" s="14" t="s">
        <v>84</v>
      </c>
      <c r="J10" s="25" t="str">
        <f aca="false">IF(AND(J$5&gt;=$E10-6,J$5&lt;=$G10),"■","")</f>
        <v/>
      </c>
      <c r="K10" s="25" t="str">
        <f aca="false">IF(AND(K$5&gt;=$E10-6,K$5&lt;=$G10),"■","")</f>
        <v>■</v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  <c r="U10" s="25" t="str">
        <f aca="false">IF(AND(U$5&gt;=$E10-6,U$5&lt;=$G10),"■","")</f>
        <v/>
      </c>
    </row>
    <row r="11" customFormat="false" ht="15" hidden="false" customHeight="false" outlineLevel="0" collapsed="false">
      <c r="A11" s="14" t="s">
        <v>175</v>
      </c>
      <c r="B11" s="4" t="s">
        <v>55</v>
      </c>
      <c r="C11" s="14" t="s">
        <v>51</v>
      </c>
      <c r="D11" s="4" t="s">
        <v>56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173</v>
      </c>
      <c r="I11" s="14" t="s">
        <v>84</v>
      </c>
      <c r="J11" s="25" t="str">
        <f aca="false">IF(AND(J$5&gt;=$E11-6,J$5&lt;=$G11),"■","")</f>
        <v/>
      </c>
      <c r="K11" s="25" t="str">
        <f aca="false">IF(AND(K$5&gt;=$E11-6,K$5&lt;=$G11),"■","")</f>
        <v>■</v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  <c r="U11" s="25" t="str">
        <f aca="false">IF(AND(U$5&gt;=$E11-6,U$5&lt;=$G11),"■","")</f>
        <v/>
      </c>
    </row>
    <row r="12" customFormat="false" ht="15" hidden="false" customHeight="false" outlineLevel="0" collapsed="false">
      <c r="A12" s="14" t="s">
        <v>176</v>
      </c>
      <c r="B12" s="4" t="s">
        <v>177</v>
      </c>
      <c r="C12" s="14" t="s">
        <v>51</v>
      </c>
      <c r="D12" s="4" t="s">
        <v>18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173</v>
      </c>
      <c r="I12" s="14" t="s">
        <v>84</v>
      </c>
      <c r="J12" s="25" t="str">
        <f aca="false">IF(AND(J$5&gt;=$E12-6,J$5&lt;=$G12),"■","")</f>
        <v/>
      </c>
      <c r="K12" s="25" t="str">
        <f aca="false">IF(AND(K$5&gt;=$E12-6,K$5&lt;=$G12),"■","")</f>
        <v>■</v>
      </c>
      <c r="L12" s="25" t="str">
        <f aca="false">IF(AND(L$5&gt;=$E12-6,L$5&lt;=$G12),"■","")</f>
        <v>■</v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  <c r="U12" s="25" t="str">
        <f aca="false">IF(AND(U$5&gt;=$E12-6,U$5&lt;=$G12),"■","")</f>
        <v/>
      </c>
    </row>
    <row r="13" customFormat="false" ht="15" hidden="false" customHeight="false" outlineLevel="0" collapsed="false">
      <c r="A13" s="14" t="s">
        <v>178</v>
      </c>
      <c r="B13" s="4" t="s">
        <v>179</v>
      </c>
      <c r="C13" s="14" t="s">
        <v>180</v>
      </c>
      <c r="D13" s="4" t="s">
        <v>18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173</v>
      </c>
      <c r="I13" s="14" t="s">
        <v>84</v>
      </c>
      <c r="J13" s="25" t="str">
        <f aca="false">IF(AND(J$5&gt;=$E13-6,J$5&lt;=$G13),"■","")</f>
        <v/>
      </c>
      <c r="K13" s="25" t="str">
        <f aca="false">IF(AND(K$5&gt;=$E13-6,K$5&lt;=$G13),"■","")</f>
        <v>■</v>
      </c>
      <c r="L13" s="25" t="str">
        <f aca="false">IF(AND(L$5&gt;=$E13-6,L$5&lt;=$G13),"■","")</f>
        <v>■</v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  <c r="U13" s="25" t="str">
        <f aca="false">IF(AND(U$5&gt;=$E13-6,U$5&lt;=$G13),"■","")</f>
        <v/>
      </c>
    </row>
    <row r="14" customFormat="false" ht="15" hidden="false" customHeight="false" outlineLevel="0" collapsed="false">
      <c r="A14" s="21" t="s">
        <v>181</v>
      </c>
      <c r="B14" s="21" t="s">
        <v>182</v>
      </c>
      <c r="C14" s="21"/>
      <c r="D14" s="21" t="s">
        <v>24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</row>
    <row r="15" customFormat="false" ht="23.85" hidden="false" customHeight="false" outlineLevel="0" collapsed="false">
      <c r="A15" s="14" t="s">
        <v>183</v>
      </c>
      <c r="B15" s="4" t="s">
        <v>184</v>
      </c>
      <c r="C15" s="14" t="s">
        <v>68</v>
      </c>
      <c r="D15" s="4" t="s">
        <v>18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175</v>
      </c>
      <c r="I15" s="14" t="s">
        <v>54</v>
      </c>
      <c r="J15" s="25" t="str">
        <f aca="false">IF(AND(J$5&gt;=$E15-6,J$5&lt;=$G15),"■","")</f>
        <v/>
      </c>
      <c r="K15" s="25" t="str">
        <f aca="false">IF(AND(K$5&gt;=$E15-6,K$5&lt;=$G15),"■","")</f>
        <v>■</v>
      </c>
      <c r="L15" s="25" t="str">
        <f aca="false">IF(AND(L$5&gt;=$E15-6,L$5&lt;=$G15),"■","")</f>
        <v>■</v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  <c r="U15" s="25" t="str">
        <f aca="false">IF(AND(U$5&gt;=$E15-6,U$5&lt;=$G15),"■","")</f>
        <v/>
      </c>
    </row>
    <row r="16" customFormat="false" ht="15" hidden="false" customHeight="false" outlineLevel="0" collapsed="false">
      <c r="A16" s="14" t="s">
        <v>185</v>
      </c>
      <c r="B16" s="4" t="s">
        <v>186</v>
      </c>
      <c r="C16" s="14" t="s">
        <v>51</v>
      </c>
      <c r="D16" s="4" t="s">
        <v>18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187</v>
      </c>
      <c r="I16" s="14" t="s">
        <v>84</v>
      </c>
      <c r="J16" s="25" t="str">
        <f aca="false">IF(AND(J$5&gt;=$E16-6,J$5&lt;=$G16),"■","")</f>
        <v/>
      </c>
      <c r="K16" s="25" t="str">
        <f aca="false">IF(AND(K$5&gt;=$E16-6,K$5&lt;=$G16),"■","")</f>
        <v>■</v>
      </c>
      <c r="L16" s="25" t="str">
        <f aca="false">IF(AND(L$5&gt;=$E16-6,L$5&lt;=$G16),"■","")</f>
        <v>■</v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  <c r="U16" s="25" t="str">
        <f aca="false">IF(AND(U$5&gt;=$E16-6,U$5&lt;=$G16),"■","")</f>
        <v/>
      </c>
    </row>
    <row r="17" customFormat="false" ht="23.85" hidden="false" customHeight="false" outlineLevel="0" collapsed="false">
      <c r="A17" s="14" t="s">
        <v>188</v>
      </c>
      <c r="B17" s="4" t="s">
        <v>88</v>
      </c>
      <c r="C17" s="14" t="s">
        <v>180</v>
      </c>
      <c r="D17" s="4" t="s">
        <v>24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178</v>
      </c>
      <c r="I17" s="14" t="s">
        <v>84</v>
      </c>
      <c r="J17" s="25" t="str">
        <f aca="false">IF(AND(J$5&gt;=$E17-6,J$5&lt;=$G17),"■","")</f>
        <v/>
      </c>
      <c r="K17" s="25" t="str">
        <f aca="false">IF(AND(K$5&gt;=$E17-6,K$5&lt;=$G17),"■","")</f>
        <v/>
      </c>
      <c r="L17" s="25" t="str">
        <f aca="false">IF(AND(L$5&gt;=$E17-6,L$5&lt;=$G17),"■","")</f>
        <v>■</v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  <c r="U17" s="25" t="str">
        <f aca="false">IF(AND(U$5&gt;=$E17-6,U$5&lt;=$G17),"■","")</f>
        <v/>
      </c>
    </row>
    <row r="18" customFormat="false" ht="23.85" hidden="false" customHeight="false" outlineLevel="0" collapsed="false">
      <c r="A18" s="14" t="s">
        <v>189</v>
      </c>
      <c r="B18" s="4" t="s">
        <v>190</v>
      </c>
      <c r="C18" s="14" t="s">
        <v>180</v>
      </c>
      <c r="D18" s="4" t="s">
        <v>24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191</v>
      </c>
      <c r="I18" s="14" t="s">
        <v>54</v>
      </c>
      <c r="J18" s="25" t="str">
        <f aca="false">IF(AND(J$5&gt;=$E18-6,J$5&lt;=$G18),"■","")</f>
        <v/>
      </c>
      <c r="K18" s="25" t="str">
        <f aca="false">IF(AND(K$5&gt;=$E18-6,K$5&lt;=$G18),"■","")</f>
        <v/>
      </c>
      <c r="L18" s="25" t="str">
        <f aca="false">IF(AND(L$5&gt;=$E18-6,L$5&lt;=$G18),"■","")</f>
        <v>■</v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  <c r="U18" s="25" t="str">
        <f aca="false">IF(AND(U$5&gt;=$E18-6,U$5&lt;=$G18),"■","")</f>
        <v/>
      </c>
    </row>
    <row r="19" customFormat="false" ht="15" hidden="false" customHeight="false" outlineLevel="0" collapsed="false">
      <c r="A19" s="14" t="s">
        <v>192</v>
      </c>
      <c r="B19" s="4" t="s">
        <v>193</v>
      </c>
      <c r="C19" s="14" t="s">
        <v>76</v>
      </c>
      <c r="D19" s="4" t="s">
        <v>24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185</v>
      </c>
      <c r="I19" s="14" t="s">
        <v>71</v>
      </c>
      <c r="J19" s="25" t="str">
        <f aca="false">IF(AND(J$5&gt;=$E19-6,J$5&lt;=$G19),"■","")</f>
        <v/>
      </c>
      <c r="K19" s="25" t="str">
        <f aca="false">IF(AND(K$5&gt;=$E19-6,K$5&lt;=$G19),"■","")</f>
        <v/>
      </c>
      <c r="L19" s="25" t="str">
        <f aca="false">IF(AND(L$5&gt;=$E19-6,L$5&lt;=$G19),"■","")</f>
        <v>■</v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  <c r="U19" s="25" t="str">
        <f aca="false">IF(AND(U$5&gt;=$E19-6,U$5&lt;=$G19),"■","")</f>
        <v/>
      </c>
    </row>
    <row r="20" customFormat="false" ht="15" hidden="false" customHeight="false" outlineLevel="0" collapsed="false">
      <c r="A20" s="14" t="s">
        <v>194</v>
      </c>
      <c r="B20" s="4" t="s">
        <v>67</v>
      </c>
      <c r="C20" s="14" t="s">
        <v>51</v>
      </c>
      <c r="D20" s="4" t="s">
        <v>24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195</v>
      </c>
      <c r="I20" s="14" t="s">
        <v>54</v>
      </c>
      <c r="J20" s="25" t="str">
        <f aca="false">IF(AND(J$5&gt;=$E20-6,J$5&lt;=$G20),"■","")</f>
        <v/>
      </c>
      <c r="K20" s="25" t="str">
        <f aca="false">IF(AND(K$5&gt;=$E20-6,K$5&lt;=$G20),"■","")</f>
        <v/>
      </c>
      <c r="L20" s="25" t="str">
        <f aca="false">IF(AND(L$5&gt;=$E20-6,L$5&lt;=$G20),"■","")</f>
        <v>■</v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  <c r="U20" s="25" t="str">
        <f aca="false">IF(AND(U$5&gt;=$E20-6,U$5&lt;=$G20),"■","")</f>
        <v/>
      </c>
    </row>
    <row r="21" customFormat="false" ht="23.85" hidden="false" customHeight="false" outlineLevel="0" collapsed="false">
      <c r="A21" s="14" t="s">
        <v>196</v>
      </c>
      <c r="B21" s="4" t="s">
        <v>65</v>
      </c>
      <c r="C21" s="14" t="s">
        <v>51</v>
      </c>
      <c r="D21" s="4" t="s">
        <v>24</v>
      </c>
      <c r="E21" s="22" t="n">
        <v>46314</v>
      </c>
      <c r="F21" s="23" t="n">
        <v>1</v>
      </c>
      <c r="G21" s="24" t="n">
        <f aca="false">E21+F21*7-3</f>
        <v>46318</v>
      </c>
      <c r="H21" s="14" t="s">
        <v>197</v>
      </c>
      <c r="I21" s="14" t="s">
        <v>84</v>
      </c>
      <c r="J21" s="25" t="str">
        <f aca="false">IF(AND(J$5&gt;=$E21-6,J$5&lt;=$G21),"■","")</f>
        <v/>
      </c>
      <c r="K21" s="25" t="str">
        <f aca="false">IF(AND(K$5&gt;=$E21-6,K$5&lt;=$G21),"■","")</f>
        <v/>
      </c>
      <c r="L21" s="25" t="str">
        <f aca="false">IF(AND(L$5&gt;=$E21-6,L$5&lt;=$G21),"■","")</f>
        <v>■</v>
      </c>
      <c r="M21" s="25" t="str">
        <f aca="false">IF(AND(M$5&gt;=$E21-6,M$5&lt;=$G21),"■","")</f>
        <v/>
      </c>
      <c r="N21" s="25" t="str">
        <f aca="false">IF(AND(N$5&gt;=$E21-6,N$5&lt;=$G21),"■","")</f>
        <v/>
      </c>
      <c r="O21" s="25" t="str">
        <f aca="false">IF(AND(O$5&gt;=$E21-6,O$5&lt;=$G21),"■","")</f>
        <v/>
      </c>
      <c r="P21" s="25" t="str">
        <f aca="false">IF(AND(P$5&gt;=$E21-6,P$5&lt;=$G21),"■","")</f>
        <v/>
      </c>
      <c r="Q21" s="25" t="str">
        <f aca="false">IF(AND(Q$5&gt;=$E21-6,Q$5&lt;=$G21),"■","")</f>
        <v/>
      </c>
      <c r="R21" s="25" t="str">
        <f aca="false">IF(AND(R$5&gt;=$E21-6,R$5&lt;=$G21),"■","")</f>
        <v/>
      </c>
      <c r="S21" s="25" t="str">
        <f aca="false">IF(AND(S$5&gt;=$E21-6,S$5&lt;=$G21),"■","")</f>
        <v/>
      </c>
      <c r="T21" s="25" t="str">
        <f aca="false">IF(AND(T$5&gt;=$E21-6,T$5&lt;=$G21),"■","")</f>
        <v/>
      </c>
      <c r="U21" s="25" t="str">
        <f aca="false">IF(AND(U$5&gt;=$E21-6,U$5&lt;=$G21),"■","")</f>
        <v/>
      </c>
    </row>
    <row r="22" customFormat="false" ht="15" hidden="false" customHeight="false" outlineLevel="0" collapsed="false">
      <c r="A22" s="21" t="s">
        <v>198</v>
      </c>
      <c r="B22" s="21" t="s">
        <v>199</v>
      </c>
      <c r="C22" s="21"/>
      <c r="D22" s="21" t="s">
        <v>200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</row>
    <row r="23" customFormat="false" ht="15" hidden="false" customHeight="false" outlineLevel="0" collapsed="false">
      <c r="A23" s="14" t="s">
        <v>201</v>
      </c>
      <c r="B23" s="4" t="s">
        <v>202</v>
      </c>
      <c r="C23" s="14" t="s">
        <v>51</v>
      </c>
      <c r="D23" s="4" t="s">
        <v>146</v>
      </c>
      <c r="E23" s="22" t="n">
        <v>46321</v>
      </c>
      <c r="F23" s="23" t="n">
        <v>1</v>
      </c>
      <c r="G23" s="24" t="n">
        <f aca="false">E23+F23*7-3</f>
        <v>46325</v>
      </c>
      <c r="H23" s="14" t="s">
        <v>194</v>
      </c>
      <c r="I23" s="14" t="s">
        <v>203</v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  <c r="U23" s="25" t="str">
        <f aca="false">IF(AND(U$5&gt;=$E23-6,U$5&lt;=$G23),"■","")</f>
        <v/>
      </c>
    </row>
    <row r="24" customFormat="false" ht="23.85" hidden="false" customHeight="false" outlineLevel="0" collapsed="false">
      <c r="A24" s="14" t="s">
        <v>204</v>
      </c>
      <c r="B24" s="4" t="s">
        <v>205</v>
      </c>
      <c r="C24" s="14" t="s">
        <v>94</v>
      </c>
      <c r="D24" s="4" t="s">
        <v>206</v>
      </c>
      <c r="E24" s="22" t="n">
        <v>46328</v>
      </c>
      <c r="F24" s="23" t="n">
        <v>1</v>
      </c>
      <c r="G24" s="24" t="n">
        <f aca="false">E24+F24*7-3</f>
        <v>46332</v>
      </c>
      <c r="H24" s="14" t="s">
        <v>201</v>
      </c>
      <c r="I24" s="14" t="s">
        <v>203</v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/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  <c r="U24" s="25" t="str">
        <f aca="false">IF(AND(U$5&gt;=$E24-6,U$5&lt;=$G24),"■","")</f>
        <v/>
      </c>
    </row>
    <row r="25" customFormat="false" ht="15" hidden="false" customHeight="false" outlineLevel="0" collapsed="false">
      <c r="A25" s="14" t="s">
        <v>207</v>
      </c>
      <c r="B25" s="4" t="s">
        <v>208</v>
      </c>
      <c r="C25" s="14" t="s">
        <v>68</v>
      </c>
      <c r="D25" s="4" t="s">
        <v>209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204</v>
      </c>
      <c r="I25" s="14" t="s">
        <v>203</v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/>
      </c>
      <c r="O25" s="25" t="str">
        <f aca="false">IF(AND(O$5&gt;=$E25-6,O$5&lt;=$G25),"■","")</f>
        <v>■</v>
      </c>
      <c r="P25" s="25" t="str">
        <f aca="false">IF(AND(P$5&gt;=$E25-6,P$5&lt;=$G25),"■","")</f>
        <v>■</v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  <c r="U25" s="25" t="str">
        <f aca="false">IF(AND(U$5&gt;=$E25-6,U$5&lt;=$G25),"■","")</f>
        <v/>
      </c>
    </row>
    <row r="26" customFormat="false" ht="15" hidden="false" customHeight="false" outlineLevel="0" collapsed="false">
      <c r="A26" s="14" t="s">
        <v>210</v>
      </c>
      <c r="B26" s="4" t="s">
        <v>211</v>
      </c>
      <c r="C26" s="14" t="s">
        <v>76</v>
      </c>
      <c r="D26" s="4" t="s">
        <v>209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204</v>
      </c>
      <c r="I26" s="14" t="s">
        <v>203</v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/>
      </c>
      <c r="O26" s="25" t="str">
        <f aca="false">IF(AND(O$5&gt;=$E26-6,O$5&lt;=$G26),"■","")</f>
        <v>■</v>
      </c>
      <c r="P26" s="25" t="str">
        <f aca="false">IF(AND(P$5&gt;=$E26-6,P$5&lt;=$G26),"■","")</f>
        <v>■</v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  <c r="U26" s="25" t="str">
        <f aca="false">IF(AND(U$5&gt;=$E26-6,U$5&lt;=$G26),"■","")</f>
        <v/>
      </c>
    </row>
    <row r="27" customFormat="false" ht="15" hidden="false" customHeight="false" outlineLevel="0" collapsed="false">
      <c r="A27" s="14" t="s">
        <v>212</v>
      </c>
      <c r="B27" s="4" t="s">
        <v>213</v>
      </c>
      <c r="C27" s="14" t="s">
        <v>82</v>
      </c>
      <c r="D27" s="4" t="s">
        <v>209</v>
      </c>
      <c r="E27" s="22" t="n">
        <v>46335</v>
      </c>
      <c r="F27" s="23" t="n">
        <v>2</v>
      </c>
      <c r="G27" s="24" t="n">
        <f aca="false">E27+F27*7-3</f>
        <v>46346</v>
      </c>
      <c r="H27" s="14" t="s">
        <v>204</v>
      </c>
      <c r="I27" s="14" t="s">
        <v>203</v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>■</v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  <c r="U27" s="25" t="str">
        <f aca="false">IF(AND(U$5&gt;=$E27-6,U$5&lt;=$G27),"■","")</f>
        <v/>
      </c>
    </row>
    <row r="28" customFormat="false" ht="15" hidden="false" customHeight="false" outlineLevel="0" collapsed="false">
      <c r="A28" s="14" t="s">
        <v>214</v>
      </c>
      <c r="B28" s="4" t="s">
        <v>215</v>
      </c>
      <c r="C28" s="14" t="s">
        <v>82</v>
      </c>
      <c r="D28" s="4" t="s">
        <v>216</v>
      </c>
      <c r="E28" s="22" t="n">
        <v>46349</v>
      </c>
      <c r="F28" s="23" t="n">
        <v>1</v>
      </c>
      <c r="G28" s="24" t="n">
        <f aca="false">E28+F28*7-3</f>
        <v>46353</v>
      </c>
      <c r="H28" s="14" t="s">
        <v>217</v>
      </c>
      <c r="I28" s="14" t="s">
        <v>203</v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  <c r="U28" s="25" t="str">
        <f aca="false">IF(AND(U$5&gt;=$E28-6,U$5&lt;=$G28),"■","")</f>
        <v/>
      </c>
    </row>
    <row r="29" customFormat="false" ht="15" hidden="false" customHeight="false" outlineLevel="0" collapsed="false">
      <c r="A29" s="14" t="s">
        <v>218</v>
      </c>
      <c r="B29" s="4" t="s">
        <v>219</v>
      </c>
      <c r="C29" s="14" t="s">
        <v>94</v>
      </c>
      <c r="D29" s="4" t="s">
        <v>209</v>
      </c>
      <c r="E29" s="22" t="n">
        <v>46356</v>
      </c>
      <c r="F29" s="23" t="n">
        <v>1</v>
      </c>
      <c r="G29" s="24" t="n">
        <f aca="false">E29+F29*7-3</f>
        <v>46360</v>
      </c>
      <c r="H29" s="14" t="s">
        <v>214</v>
      </c>
      <c r="I29" s="14" t="s">
        <v>203</v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  <c r="U29" s="25" t="str">
        <f aca="false">IF(AND(U$5&gt;=$E29-6,U$5&lt;=$G29),"■","")</f>
        <v/>
      </c>
    </row>
    <row r="30" customFormat="false" ht="15" hidden="false" customHeight="false" outlineLevel="0" collapsed="false">
      <c r="A30" s="14" t="s">
        <v>220</v>
      </c>
      <c r="B30" s="4" t="s">
        <v>221</v>
      </c>
      <c r="C30" s="14" t="s">
        <v>68</v>
      </c>
      <c r="D30" s="4" t="s">
        <v>209</v>
      </c>
      <c r="E30" s="22" t="n">
        <v>46363</v>
      </c>
      <c r="F30" s="23" t="n">
        <v>1</v>
      </c>
      <c r="G30" s="24" t="n">
        <f aca="false">E30+F30*7-3</f>
        <v>46367</v>
      </c>
      <c r="H30" s="14" t="s">
        <v>218</v>
      </c>
      <c r="I30" s="14" t="s">
        <v>203</v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/>
      </c>
      <c r="M30" s="25" t="str">
        <f aca="false">IF(AND(M$5&gt;=$E30-6,M$5&lt;=$G30),"■","")</f>
        <v/>
      </c>
      <c r="N30" s="25" t="str">
        <f aca="false">IF(AND(N$5&gt;=$E30-6,N$5&lt;=$G30),"■","")</f>
        <v/>
      </c>
      <c r="O30" s="25" t="str">
        <f aca="false">IF(AND(O$5&gt;=$E30-6,O$5&lt;=$G30),"■","")</f>
        <v/>
      </c>
      <c r="P30" s="25" t="str">
        <f aca="false">IF(AND(P$5&gt;=$E30-6,P$5&lt;=$G30),"■","")</f>
        <v/>
      </c>
      <c r="Q30" s="25" t="str">
        <f aca="false">IF(AND(Q$5&gt;=$E30-6,Q$5&lt;=$G30),"■","")</f>
        <v/>
      </c>
      <c r="R30" s="25" t="str">
        <f aca="false">IF(AND(R$5&gt;=$E30-6,R$5&lt;=$G30),"■","")</f>
        <v/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  <c r="U30" s="25" t="str">
        <f aca="false">IF(AND(U$5&gt;=$E30-6,U$5&lt;=$G30),"■","")</f>
        <v/>
      </c>
    </row>
    <row r="31" customFormat="false" ht="15" hidden="false" customHeight="false" outlineLevel="0" collapsed="false">
      <c r="A31" s="14" t="s">
        <v>222</v>
      </c>
      <c r="B31" s="4" t="s">
        <v>223</v>
      </c>
      <c r="C31" s="14" t="s">
        <v>51</v>
      </c>
      <c r="D31" s="4" t="s">
        <v>216</v>
      </c>
      <c r="E31" s="22" t="n">
        <v>46321</v>
      </c>
      <c r="F31" s="23" t="n">
        <v>8</v>
      </c>
      <c r="G31" s="24" t="n">
        <f aca="false">E31+F31*7-3</f>
        <v>46374</v>
      </c>
      <c r="H31" s="14" t="s">
        <v>168</v>
      </c>
      <c r="I31" s="14" t="s">
        <v>203</v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>■</v>
      </c>
      <c r="N31" s="25" t="str">
        <f aca="false">IF(AND(N$5&gt;=$E31-6,N$5&lt;=$G31),"■","")</f>
        <v>■</v>
      </c>
      <c r="O31" s="25" t="str">
        <f aca="false">IF(AND(O$5&gt;=$E31-6,O$5&lt;=$G31),"■","")</f>
        <v>■</v>
      </c>
      <c r="P31" s="25" t="str">
        <f aca="false">IF(AND(P$5&gt;=$E31-6,P$5&lt;=$G31),"■","")</f>
        <v>■</v>
      </c>
      <c r="Q31" s="25" t="str">
        <f aca="false">IF(AND(Q$5&gt;=$E31-6,Q$5&lt;=$G31),"■","")</f>
        <v>■</v>
      </c>
      <c r="R31" s="25" t="str">
        <f aca="false">IF(AND(R$5&gt;=$E31-6,R$5&lt;=$G31),"■","")</f>
        <v>■</v>
      </c>
      <c r="S31" s="25" t="str">
        <f aca="false">IF(AND(S$5&gt;=$E31-6,S$5&lt;=$G31),"■","")</f>
        <v>■</v>
      </c>
      <c r="T31" s="25" t="str">
        <f aca="false">IF(AND(T$5&gt;=$E31-6,T$5&lt;=$G31),"■","")</f>
        <v>■</v>
      </c>
      <c r="U31" s="25" t="str">
        <f aca="false">IF(AND(U$5&gt;=$E31-6,U$5&lt;=$G31),"■","")</f>
        <v/>
      </c>
    </row>
    <row r="32" customFormat="false" ht="15" hidden="false" customHeight="false" outlineLevel="0" collapsed="false">
      <c r="A32" s="14" t="s">
        <v>224</v>
      </c>
      <c r="B32" s="4" t="s">
        <v>225</v>
      </c>
      <c r="C32" s="14" t="s">
        <v>51</v>
      </c>
      <c r="D32" s="4" t="s">
        <v>226</v>
      </c>
      <c r="E32" s="22" t="n">
        <v>46377</v>
      </c>
      <c r="F32" s="23" t="n">
        <v>1</v>
      </c>
      <c r="G32" s="24" t="n">
        <f aca="false">E32+F32*7-3</f>
        <v>46381</v>
      </c>
      <c r="H32" s="14" t="s">
        <v>220</v>
      </c>
      <c r="I32" s="14" t="s">
        <v>203</v>
      </c>
      <c r="J32" s="25" t="str">
        <f aca="false">IF(AND(J$5&gt;=$E32-6,J$5&lt;=$G32),"■","")</f>
        <v/>
      </c>
      <c r="K32" s="25" t="str">
        <f aca="false">IF(AND(K$5&gt;=$E32-6,K$5&lt;=$G32),"■","")</f>
        <v/>
      </c>
      <c r="L32" s="25" t="str">
        <f aca="false">IF(AND(L$5&gt;=$E32-6,L$5&lt;=$G32),"■","")</f>
        <v/>
      </c>
      <c r="M32" s="25" t="str">
        <f aca="false">IF(AND(M$5&gt;=$E32-6,M$5&lt;=$G32),"■","")</f>
        <v/>
      </c>
      <c r="N32" s="25" t="str">
        <f aca="false">IF(AND(N$5&gt;=$E32-6,N$5&lt;=$G32),"■","")</f>
        <v/>
      </c>
      <c r="O32" s="25" t="str">
        <f aca="false">IF(AND(O$5&gt;=$E32-6,O$5&lt;=$G32),"■","")</f>
        <v/>
      </c>
      <c r="P32" s="25" t="str">
        <f aca="false">IF(AND(P$5&gt;=$E32-6,P$5&lt;=$G32),"■","")</f>
        <v/>
      </c>
      <c r="Q32" s="25" t="str">
        <f aca="false">IF(AND(Q$5&gt;=$E32-6,Q$5&lt;=$G32),"■","")</f>
        <v/>
      </c>
      <c r="R32" s="25" t="str">
        <f aca="false">IF(AND(R$5&gt;=$E32-6,R$5&lt;=$G32),"■","")</f>
        <v/>
      </c>
      <c r="S32" s="25" t="str">
        <f aca="false">IF(AND(S$5&gt;=$E32-6,S$5&lt;=$G32),"■","")</f>
        <v/>
      </c>
      <c r="T32" s="25" t="str">
        <f aca="false">IF(AND(T$5&gt;=$E32-6,T$5&lt;=$G32),"■","")</f>
        <v/>
      </c>
      <c r="U32" s="25" t="str">
        <f aca="false">IF(AND(U$5&gt;=$E32-6,U$5&lt;=$G32),"■","")</f>
        <v>■</v>
      </c>
    </row>
    <row r="33" customFormat="false" ht="15" hidden="false" customHeight="false" outlineLevel="0" collapsed="false">
      <c r="A33" s="21" t="s">
        <v>227</v>
      </c>
      <c r="B33" s="21" t="s">
        <v>228</v>
      </c>
      <c r="C33" s="21"/>
      <c r="D33" s="21" t="s">
        <v>228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</row>
    <row r="34" customFormat="false" ht="15" hidden="false" customHeight="false" outlineLevel="0" collapsed="false">
      <c r="A34" s="14" t="s">
        <v>229</v>
      </c>
      <c r="B34" s="4" t="s">
        <v>230</v>
      </c>
      <c r="C34" s="14" t="s">
        <v>231</v>
      </c>
      <c r="D34" s="4" t="s">
        <v>232</v>
      </c>
      <c r="E34" s="22" t="n">
        <v>46311</v>
      </c>
      <c r="F34" s="23" t="n">
        <v>0</v>
      </c>
      <c r="G34" s="24" t="n">
        <f aca="false">E34</f>
        <v>46311</v>
      </c>
      <c r="H34" s="14" t="s">
        <v>187</v>
      </c>
      <c r="I34" s="14" t="s">
        <v>233</v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  <c r="U34" s="25" t="str">
        <f aca="false">IF(AND($E34&gt;=U$5,$E34&lt;U$5+7),"◆","")</f>
        <v/>
      </c>
    </row>
    <row r="35" customFormat="false" ht="23.85" hidden="false" customHeight="false" outlineLevel="0" collapsed="false">
      <c r="A35" s="14" t="s">
        <v>234</v>
      </c>
      <c r="B35" s="4" t="s">
        <v>235</v>
      </c>
      <c r="C35" s="14" t="s">
        <v>231</v>
      </c>
      <c r="D35" s="4" t="s">
        <v>232</v>
      </c>
      <c r="E35" s="22" t="n">
        <v>46315</v>
      </c>
      <c r="F35" s="23" t="n">
        <v>0</v>
      </c>
      <c r="G35" s="24" t="n">
        <f aca="false">E35</f>
        <v>46315</v>
      </c>
      <c r="H35" s="14" t="s">
        <v>195</v>
      </c>
      <c r="I35" s="14" t="s">
        <v>233</v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  <c r="U35" s="25" t="str">
        <f aca="false">IF(AND($E35&gt;=U$5,$E35&lt;U$5+7),"◆","")</f>
        <v/>
      </c>
    </row>
    <row r="36" customFormat="false" ht="15" hidden="false" customHeight="false" outlineLevel="0" collapsed="false">
      <c r="A36" s="14" t="s">
        <v>236</v>
      </c>
      <c r="B36" s="4" t="s">
        <v>237</v>
      </c>
      <c r="C36" s="14" t="s">
        <v>231</v>
      </c>
      <c r="D36" s="4" t="s">
        <v>232</v>
      </c>
      <c r="E36" s="22" t="n">
        <v>46316</v>
      </c>
      <c r="F36" s="23" t="n">
        <v>0</v>
      </c>
      <c r="G36" s="24" t="n">
        <f aca="false">E36</f>
        <v>46316</v>
      </c>
      <c r="H36" s="14" t="s">
        <v>194</v>
      </c>
      <c r="I36" s="14" t="s">
        <v>238</v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>◆</v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/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  <c r="U36" s="25" t="str">
        <f aca="false">IF(AND($E36&gt;=U$5,$E36&lt;U$5+7),"◆","")</f>
        <v/>
      </c>
    </row>
    <row r="37" customFormat="false" ht="15" hidden="false" customHeight="false" outlineLevel="0" collapsed="false">
      <c r="A37" s="14" t="s">
        <v>239</v>
      </c>
      <c r="B37" s="4" t="s">
        <v>240</v>
      </c>
      <c r="C37" s="14" t="s">
        <v>231</v>
      </c>
      <c r="D37" s="4" t="s">
        <v>232</v>
      </c>
      <c r="E37" s="22" t="n">
        <v>46325</v>
      </c>
      <c r="F37" s="23" t="n">
        <v>0</v>
      </c>
      <c r="G37" s="24" t="n">
        <f aca="false">E37</f>
        <v>46325</v>
      </c>
      <c r="H37" s="14" t="s">
        <v>201</v>
      </c>
      <c r="I37" s="14" t="s">
        <v>203</v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>◆</v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/>
      </c>
      <c r="T37" s="25" t="str">
        <f aca="false">IF(AND($E37&gt;=T$5,$E37&lt;T$5+7),"◆","")</f>
        <v/>
      </c>
      <c r="U37" s="25" t="str">
        <f aca="false">IF(AND($E37&gt;=U$5,$E37&lt;U$5+7),"◆","")</f>
        <v/>
      </c>
    </row>
    <row r="38" customFormat="false" ht="15" hidden="false" customHeight="false" outlineLevel="0" collapsed="false">
      <c r="A38" s="14" t="s">
        <v>241</v>
      </c>
      <c r="B38" s="4" t="s">
        <v>242</v>
      </c>
      <c r="C38" s="14" t="s">
        <v>231</v>
      </c>
      <c r="D38" s="4" t="s">
        <v>232</v>
      </c>
      <c r="E38" s="22" t="n">
        <v>46353</v>
      </c>
      <c r="F38" s="23" t="n">
        <v>0</v>
      </c>
      <c r="G38" s="24" t="n">
        <f aca="false">E38</f>
        <v>46353</v>
      </c>
      <c r="H38" s="14" t="s">
        <v>214</v>
      </c>
      <c r="I38" s="14" t="s">
        <v>203</v>
      </c>
      <c r="J38" s="25" t="str">
        <f aca="false">IF(AND($E38&gt;=J$5,$E38&lt;J$5+7),"◆","")</f>
        <v/>
      </c>
      <c r="K38" s="25" t="str">
        <f aca="false">IF(AND($E38&gt;=K$5,$E38&lt;K$5+7),"◆","")</f>
        <v/>
      </c>
      <c r="L38" s="25" t="str">
        <f aca="false">IF(AND($E38&gt;=L$5,$E38&lt;L$5+7),"◆","")</f>
        <v/>
      </c>
      <c r="M38" s="25" t="str">
        <f aca="false">IF(AND($E38&gt;=M$5,$E38&lt;M$5+7),"◆","")</f>
        <v/>
      </c>
      <c r="N38" s="25" t="str">
        <f aca="false">IF(AND($E38&gt;=N$5,$E38&lt;N$5+7),"◆","")</f>
        <v/>
      </c>
      <c r="O38" s="25" t="str">
        <f aca="false">IF(AND($E38&gt;=O$5,$E38&lt;O$5+7),"◆","")</f>
        <v/>
      </c>
      <c r="P38" s="25" t="str">
        <f aca="false">IF(AND($E38&gt;=P$5,$E38&lt;P$5+7),"◆","")</f>
        <v/>
      </c>
      <c r="Q38" s="25" t="str">
        <f aca="false">IF(AND($E38&gt;=Q$5,$E38&lt;Q$5+7),"◆","")</f>
        <v>◆</v>
      </c>
      <c r="R38" s="25" t="str">
        <f aca="false">IF(AND($E38&gt;=R$5,$E38&lt;R$5+7),"◆","")</f>
        <v/>
      </c>
      <c r="S38" s="25" t="str">
        <f aca="false">IF(AND($E38&gt;=S$5,$E38&lt;S$5+7),"◆","")</f>
        <v/>
      </c>
      <c r="T38" s="25" t="str">
        <f aca="false">IF(AND($E38&gt;=T$5,$E38&lt;T$5+7),"◆","")</f>
        <v/>
      </c>
      <c r="U38" s="25" t="str">
        <f aca="false">IF(AND($E38&gt;=U$5,$E38&lt;U$5+7),"◆","")</f>
        <v/>
      </c>
    </row>
    <row r="39" customFormat="false" ht="15" hidden="false" customHeight="false" outlineLevel="0" collapsed="false">
      <c r="A39" s="14" t="s">
        <v>243</v>
      </c>
      <c r="B39" s="4" t="s">
        <v>244</v>
      </c>
      <c r="C39" s="14" t="s">
        <v>231</v>
      </c>
      <c r="D39" s="4" t="s">
        <v>232</v>
      </c>
      <c r="E39" s="22" t="n">
        <v>46370</v>
      </c>
      <c r="F39" s="23" t="n">
        <v>0</v>
      </c>
      <c r="G39" s="24" t="n">
        <f aca="false">E39</f>
        <v>46370</v>
      </c>
      <c r="H39" s="14" t="s">
        <v>220</v>
      </c>
      <c r="I39" s="14" t="s">
        <v>203</v>
      </c>
      <c r="J39" s="25" t="str">
        <f aca="false">IF(AND($E39&gt;=J$5,$E39&lt;J$5+7),"◆","")</f>
        <v/>
      </c>
      <c r="K39" s="25" t="str">
        <f aca="false">IF(AND($E39&gt;=K$5,$E39&lt;K$5+7),"◆","")</f>
        <v/>
      </c>
      <c r="L39" s="25" t="str">
        <f aca="false">IF(AND($E39&gt;=L$5,$E39&lt;L$5+7),"◆","")</f>
        <v/>
      </c>
      <c r="M39" s="25" t="str">
        <f aca="false">IF(AND($E39&gt;=M$5,$E39&lt;M$5+7),"◆","")</f>
        <v/>
      </c>
      <c r="N39" s="25" t="str">
        <f aca="false">IF(AND($E39&gt;=N$5,$E39&lt;N$5+7),"◆","")</f>
        <v/>
      </c>
      <c r="O39" s="25" t="str">
        <f aca="false">IF(AND($E39&gt;=O$5,$E39&lt;O$5+7),"◆","")</f>
        <v/>
      </c>
      <c r="P39" s="25" t="str">
        <f aca="false">IF(AND($E39&gt;=P$5,$E39&lt;P$5+7),"◆","")</f>
        <v/>
      </c>
      <c r="Q39" s="25" t="str">
        <f aca="false">IF(AND($E39&gt;=Q$5,$E39&lt;Q$5+7),"◆","")</f>
        <v/>
      </c>
      <c r="R39" s="25" t="str">
        <f aca="false">IF(AND($E39&gt;=R$5,$E39&lt;R$5+7),"◆","")</f>
        <v/>
      </c>
      <c r="S39" s="25" t="str">
        <f aca="false">IF(AND($E39&gt;=S$5,$E39&lt;S$5+7),"◆","")</f>
        <v/>
      </c>
      <c r="T39" s="25" t="str">
        <f aca="false">IF(AND($E39&gt;=T$5,$E39&lt;T$5+7),"◆","")</f>
        <v>◆</v>
      </c>
      <c r="U39" s="25" t="str">
        <f aca="false">IF(AND($E39&gt;=U$5,$E39&lt;U$5+7),"◆","")</f>
        <v/>
      </c>
    </row>
    <row r="41" customFormat="false" ht="15" hidden="false" customHeight="false" outlineLevel="0" collapsed="false">
      <c r="B41" s="16" t="s">
        <v>245</v>
      </c>
    </row>
    <row r="42" customFormat="false" ht="15" hidden="false" customHeight="false" outlineLevel="0" collapsed="false">
      <c r="B42" s="26" t="s">
        <v>51</v>
      </c>
    </row>
    <row r="43" customFormat="false" ht="15" hidden="false" customHeight="false" outlineLevel="0" collapsed="false">
      <c r="B43" s="27" t="s">
        <v>68</v>
      </c>
    </row>
    <row r="44" customFormat="false" ht="15" hidden="false" customHeight="false" outlineLevel="0" collapsed="false">
      <c r="B44" s="28" t="s">
        <v>76</v>
      </c>
    </row>
    <row r="45" customFormat="false" ht="15" hidden="false" customHeight="false" outlineLevel="0" collapsed="false">
      <c r="B45" s="29" t="s">
        <v>82</v>
      </c>
    </row>
    <row r="46" customFormat="false" ht="15" hidden="false" customHeight="false" outlineLevel="0" collapsed="false">
      <c r="B46" s="30" t="s">
        <v>94</v>
      </c>
    </row>
    <row r="47" customFormat="false" ht="15" hidden="false" customHeight="false" outlineLevel="0" collapsed="false">
      <c r="B47" s="31" t="s">
        <v>231</v>
      </c>
    </row>
    <row r="49" customFormat="false" ht="30" hidden="false" customHeight="true" outlineLevel="0" collapsed="false">
      <c r="B49" s="32" t="s">
        <v>246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</row>
    <row r="50" customFormat="false" ht="30" hidden="false" customHeight="true" outlineLevel="0" collapsed="false">
      <c r="B50" s="32" t="s">
        <v>247</v>
      </c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</row>
    <row r="51" customFormat="false" ht="30" hidden="false" customHeight="true" outlineLevel="0" collapsed="false">
      <c r="B51" s="32" t="s">
        <v>248</v>
      </c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</row>
  </sheetData>
  <mergeCells count="3">
    <mergeCell ref="B49:U49"/>
    <mergeCell ref="B50:U50"/>
    <mergeCell ref="B51:U51"/>
  </mergeCells>
  <conditionalFormatting sqref="J6:U39">
    <cfRule type="expression" priority="2" aboveAverage="0" equalAverage="0" bottom="0" percent="0" rank="0" text="" dxfId="3">
      <formula>AND(J6&lt;&gt;"",LEFT($C6,7)="Abraham")</formula>
    </cfRule>
    <cfRule type="expression" priority="3" aboveAverage="0" equalAverage="0" bottom="0" percent="0" rank="0" text="" dxfId="4">
      <formula>AND(J6&lt;&gt;"",LEFT($C6,9)="Sebastián")</formula>
    </cfRule>
    <cfRule type="expression" priority="4" aboveAverage="0" equalAverage="0" bottom="0" percent="0" rank="0" text="" dxfId="5">
      <formula>AND(J6&lt;&gt;"",LEFT($C6,8)="Lisandra")</formula>
    </cfRule>
    <cfRule type="expression" priority="5" aboveAverage="0" equalAverage="0" bottom="0" percent="0" rank="0" text="" dxfId="6">
      <formula>AND(J6&lt;&gt;"",LEFT($C6,6)="Felipe")</formula>
    </cfRule>
    <cfRule type="expression" priority="6" aboveAverage="0" equalAverage="0" bottom="0" percent="0" rank="0" text="" dxfId="7">
      <formula>AND(J6&lt;&gt;"",LEFT($C6,7)="Bárbara")</formula>
    </cfRule>
    <cfRule type="expression" priority="7" aboveAverage="0" equalAverage="0" bottom="0" percent="0" rank="0" text="" dxfId="8">
      <formula>AND(J6&lt;&gt;"",LEFT($C6,6)="Equipo")</formula>
    </cfRule>
  </conditionalFormatting>
  <conditionalFormatting sqref="I6:I39">
    <cfRule type="expression" priority="8" aboveAverage="0" equalAverage="0" bottom="0" percent="0" rank="0" text="" dxfId="0">
      <formula>I6="Listo"</formula>
    </cfRule>
    <cfRule type="expression" priority="9" aboveAverage="0" equalAverage="0" bottom="0" percent="0" rank="0" text="" dxfId="0">
      <formula>I6="Cumplido"</formula>
    </cfRule>
    <cfRule type="expression" priority="10" aboveAverage="0" equalAverage="0" bottom="0" percent="0" rank="0" text="" dxfId="1">
      <formula>I6="En curso"</formula>
    </cfRule>
    <cfRule type="expression" priority="11" aboveAverage="0" equalAverage="0" bottom="0" percent="0" rank="0" text="" dxfId="1">
      <formula>I6="Hoy"</formula>
    </cfRule>
    <cfRule type="expression" priority="12" aboveAverage="0" equalAverage="0" bottom="0" percent="0" rank="0" text="" dxfId="2">
      <formula>I6="Pendiente"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2026-10-21T13:11:42Z</dcterms:created>
  <dc:creator>openpyxl</dc:creator>
  <dc:description/>
  <dc:language>en-US</dc:language>
  <cp:lastModifiedBy/>
  <dcterms:modified xsi:type="dcterms:W3CDTF">2026-10-21T13:11:42Z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