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Ejemplo de formato: 'Organización y documentación técnica'. Cada integrante escribe la suya.</t>
        </r>
      </text>
    </comment>
  </commentList>
</comments>
</file>

<file path=xl/sharedStrings.xml><?xml version="1.0" encoding="utf-8"?>
<sst xmlns="http://schemas.openxmlformats.org/spreadsheetml/2006/main" count="435" uniqueCount="223">
  <si>
    <t xml:space="preserve">Induplac IoT — Cargos del equipo (Nota 2, punto 2)</t>
  </si>
  <si>
    <t xml:space="preserve">Autora: Bárbara Saavedra · actualizado 19/10/2026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</si>
  <si>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</si>
  <si>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</si>
  <si>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</si>
  <si>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</si>
  <si>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</si>
  <si>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</si>
  <si>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</si>
  <si>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</si>
  <si>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</si>
  <si>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</si>
  <si>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</si>
  <si>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</si>
  <si>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</si>
  <si>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</si>
  <si>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</si>
  <si>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</si>
  <si>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</si>
  <si>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</si>
  <si>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</si>
  <si>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</si>
  <si>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</si>
  <si>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Felipe Murúa</t>
  </si>
  <si>
    <t xml:space="preserve">Cloud, backend y ciberseguridad</t>
  </si>
  <si>
    <t xml:space="preserve">AWS en el Learner Lab: API Gateway, Lambda (Python), DynamoDB, RDS PostgreSQL (usuarios, permisos, umbrales y alertas) y S3 para publicar el dashboard; reglas de alerta; Cognito con MFA; IAM, TLS y cumplimiento de la Ley 19.628.</t>
  </si>
  <si>
    <t xml:space="preserve">backend/, infrastructure/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</si>
  <si>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</si>
  <si>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</si>
  <si>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</si>
  <si>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</si>
  <si>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</si>
  <si>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</si>
  <si>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</si>
  <si>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</si>
  <si>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</si>
  <si>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</si>
  <si>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</si>
  <si>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</si>
  <si>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</si>
  <si>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</si>
  <si>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</si>
  <si>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</si>
  <si>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</si>
  <si>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</si>
  <si>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</si>
  <si>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</si>
  <si>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</si>
  <si>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</si>
  <si>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</si>
  <si>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</si>
  <si>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</si>
  <si>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</si>
  <si>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</si>
  <si>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Edge Gateway en Python: SQLite, intervalos de 15 min, alertas y sincronización</t>
  </si>
  <si>
    <t xml:space="preserve">Backend AWS y base RDS junto a Felipe</t>
  </si>
  <si>
    <t xml:space="preserve">Casos de prueba y ensayo de la demo</t>
  </si>
  <si>
    <t xml:space="preserve">Pendiente</t>
  </si>
  <si>
    <t xml:space="preserve">Sebastián</t>
  </si>
  <si>
    <t xml:space="preserve">Sketch ESP32 en Wokwi (Local 1 y Local 2)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</si>
  <si>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</si>
  <si>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</si>
  <si>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</si>
  <si>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</si>
  <si>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</si>
  <si>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</si>
  <si>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</si>
  <si>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</si>
  <si>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</si>
  <si>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</si>
  <si>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</si>
  <si>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</si>
  <si>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</si>
  <si>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(intervalos)</t>
  </si>
  <si>
    <t xml:space="preserve">Reglas de alerta (+20 % kW, UV ≥ 8, agua y fugas)</t>
  </si>
  <si>
    <t xml:space="preserve">Dashboard publicado en S3</t>
  </si>
  <si>
    <t xml:space="preserve">RDS PostgreSQL: usuarios, permisos, umbrales y alertas (se enciende para la demo)</t>
  </si>
  <si>
    <t xml:space="preserve">Re-deploy de la Lambda con alertas del Edge</t>
  </si>
  <si>
    <t xml:space="preserve">Cognito con MFA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</si>
  <si>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</si>
  <si>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</si>
  <si>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</si>
  <si>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</si>
  <si>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</si>
  <si>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</si>
  <si>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</si>
  <si>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</si>
  <si>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</si>
  <si>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</si>
  <si>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</si>
  <si>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</si>
  <si>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</si>
  <si>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</si>
  <si>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</si>
  <si>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</si>
  <si>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</si>
  <si>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</si>
  <si>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</si>
  <si>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</si>
  <si>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</si>
  <si>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</si>
  <si>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</si>
  <si>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</si>
  <si>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</si>
  <si>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</si>
  <si>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</si>
  <si>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</si>
  <si>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</si>
  <si>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</si>
  <si>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</si>
  <si>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</si>
  <si>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</si>
  <si>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</si>
  <si>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</si>
  <si>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</si>
  <si>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</si>
  <si>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</si>
  <si>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</si>
  <si>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</si>
  <si>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</si>
  <si>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</si>
  <si>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</si>
  <si>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</si>
  <si>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</si>
  <si>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</si>
  <si>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</si>
  <si>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</si>
  <si>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</si>
  <si>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</si>
  <si>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</si>
  <si>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</si>
  <si>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</si>
  <si>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</si>
  <si>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</si>
  <si>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</si>
  <si>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</si>
  <si>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</si>
  <si>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</si>
  <si>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</si>
  <si>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</si>
  <si>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</si>
  <si>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</si>
  <si>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</si>
  <si>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</si>
  <si>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</si>
  <si>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</si>
  <si>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</si>
  <si>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</si>
  <si>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</si>
  <si>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</si>
  <si>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</si>
  <si>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</si>
  <si>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</si>
  <si>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</si>
  <si>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</si>
  <si>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</si>
  <si>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</si>
  <si>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</si>
  <si>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</si>
  <si>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</si>
  <si>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</si>
  <si>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con datos simulados</t>
  </si>
  <si>
    <t xml:space="preserve">2.4</t>
  </si>
  <si>
    <t xml:space="preserve">Backend AWS: API Gateway, Lambda, DynamoDB y S3</t>
  </si>
  <si>
    <t xml:space="preserve">3</t>
  </si>
  <si>
    <t xml:space="preserve">Sprint 3 – Integración híbrida y demo</t>
  </si>
  <si>
    <t xml:space="preserve">3.1</t>
  </si>
  <si>
    <t xml:space="preserve">ESP32 en Wokwi publicando por MQTT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</si>
  <si>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</si>
  <si>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</si>
  <si>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</si>
  <si>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</si>
  <si>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</si>
  <si>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</si>
  <si>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</si>
  <si>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</si>
  <si>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</si>
  <si>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</si>
  <si>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</si>
  <si>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</si>
  <si>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</si>
  <si>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</si>
  <si>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</si>
  <si>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</si>
  <si>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</si>
  <si>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</si>
  <si>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</si>
  <si>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</si>
  <si>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</si>
  <si>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</si>
  <si>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</si>
  <si>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</si>
  <si>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</si>
  <si>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</si>
  <si>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</si>
  <si>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</si>
  <si>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</si>
  <si>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</si>
  <si>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</si>
  <si>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</si>
  <si>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</si>
  <si>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</si>
  <si>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</si>
  <si>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</si>
  <si>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</si>
  <si>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</si>
  <si>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</si>
  <si>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</si>
  <si>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</si>
  <si>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</si>
  <si>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</si>
  <si>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</si>
  <si>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5.2</t>
  </si>
  <si>
    <t xml:space="preserve">◆ Demostración del prototipo (miércoles 21/10)</t>
  </si>
  <si>
    <t xml:space="preserve">5.3</t>
  </si>
  <si>
    <t xml:space="preserve">◆ Acta de inicio con Induplac</t>
  </si>
  <si>
    <t xml:space="preserve">5.4</t>
  </si>
  <si>
    <t xml:space="preserve">◆ Pruebas aprobadas</t>
  </si>
  <si>
    <t xml:space="preserve">5.5</t>
  </si>
  <si>
    <t xml:space="preserve">◆ Puesta en marcha</t>
  </si>
  <si>
    <t xml:space="preserve">Colores por responsable: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</si>
  <si>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</si>
  <si>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Cambio 19/10/2026: RDS PostgreSQL vuelve al MVP (tarea 3.3); se mantiene apagado y se enciende para la demo del miércoles y para configuraciones.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</si>
</sst>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5.0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/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/>
    </row>
    <row r="7" customFormat="false" ht="46.25" hidden="false" customHeight="false" outlineLevel="0" collapsed="false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5"/>
    </row>
    <row r="8" customFormat="false" ht="35.05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17</v>
      </c>
      <c r="F8" s="5"/>
    </row>
    <row r="9" customFormat="false" ht="35.05" hidden="false" customHeight="false" outlineLevel="0" collapsed="false">
      <c r="A9" s="4" t="s">
        <v>27</v>
      </c>
      <c r="B9" s="4" t="s">
        <v>28</v>
      </c>
      <c r="C9" s="4" t="s">
        <v>29</v>
      </c>
      <c r="D9" s="4" t="s">
        <v>30</v>
      </c>
      <c r="E9" s="4" t="s">
        <v>31</v>
      </c>
      <c r="F9" s="5"/>
    </row>
    <row r="11" customFormat="false" ht="15" hidden="false" customHeight="false" outlineLevel="0" collapsed="false">
      <c r="A11" s="6" t="s">
        <v>32</v>
      </c>
    </row>
    <row r="12" customFormat="false" ht="15" hidden="false" customHeight="false" outlineLevel="0" collapsed="false">
      <c r="A12" s="3" t="s">
        <v>33</v>
      </c>
      <c r="B12" s="3" t="s">
        <v>2</v>
      </c>
      <c r="C12" s="3" t="s">
        <v>34</v>
      </c>
      <c r="D12" s="3"/>
      <c r="E12" s="3"/>
      <c r="F12" s="3"/>
    </row>
    <row r="13" customFormat="false" ht="15" hidden="false" customHeight="false" outlineLevel="0" collapsed="false">
      <c r="A13" s="4" t="s">
        <v>35</v>
      </c>
      <c r="B13" s="7"/>
      <c r="C13" s="4" t="s">
        <v>36</v>
      </c>
    </row>
    <row r="14" customFormat="false" ht="15" hidden="false" customHeight="false" outlineLevel="0" collapsed="false">
      <c r="A14" s="4" t="s">
        <v>37</v>
      </c>
      <c r="B14" s="7"/>
      <c r="C14" s="4" t="s">
        <v>38</v>
      </c>
    </row>
    <row r="15" customFormat="false" ht="15" hidden="false" customHeight="false" outlineLevel="0" collapsed="false">
      <c r="A15" s="4" t="s">
        <v>39</v>
      </c>
      <c r="B15" s="4" t="s">
        <v>40</v>
      </c>
      <c r="C1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2</v>
      </c>
      <c r="B3" s="3" t="s">
        <v>43</v>
      </c>
      <c r="C3" s="3" t="s">
        <v>44</v>
      </c>
      <c r="D3" s="3" t="s">
        <v>45</v>
      </c>
    </row>
    <row r="4" customFormat="false" ht="15" hidden="false" customHeight="false" outlineLevel="0" collapsed="false">
      <c r="A4" s="8" t="s">
        <v>46</v>
      </c>
      <c r="B4" s="4" t="s">
        <v>47</v>
      </c>
      <c r="C4" s="4" t="s">
        <v>48</v>
      </c>
      <c r="D4" s="4" t="s">
        <v>49</v>
      </c>
    </row>
    <row r="5" customFormat="false" ht="15" hidden="false" customHeight="false" outlineLevel="0" collapsed="false">
      <c r="A5" s="8" t="s">
        <v>46</v>
      </c>
      <c r="B5" s="4" t="s">
        <v>50</v>
      </c>
      <c r="C5" s="4" t="s">
        <v>51</v>
      </c>
      <c r="D5" s="4" t="s">
        <v>52</v>
      </c>
    </row>
    <row r="6" customFormat="false" ht="15" hidden="false" customHeight="false" outlineLevel="0" collapsed="false">
      <c r="A6" s="8" t="s">
        <v>46</v>
      </c>
      <c r="B6" s="4" t="s">
        <v>53</v>
      </c>
      <c r="C6" s="4" t="s">
        <v>17</v>
      </c>
      <c r="D6" s="4" t="s">
        <v>49</v>
      </c>
    </row>
    <row r="7" customFormat="false" ht="15" hidden="false" customHeight="false" outlineLevel="0" collapsed="false">
      <c r="A7" s="8" t="s">
        <v>46</v>
      </c>
      <c r="B7" s="4" t="s">
        <v>54</v>
      </c>
      <c r="C7" s="4" t="s">
        <v>22</v>
      </c>
      <c r="D7" s="4" t="s">
        <v>49</v>
      </c>
    </row>
    <row r="8" customFormat="false" ht="15" hidden="false" customHeight="false" outlineLevel="0" collapsed="false">
      <c r="A8" s="8" t="s">
        <v>46</v>
      </c>
      <c r="B8" s="4" t="s">
        <v>55</v>
      </c>
      <c r="C8" s="4" t="s">
        <v>17</v>
      </c>
      <c r="D8" s="4" t="s">
        <v>49</v>
      </c>
    </row>
    <row r="9" customFormat="false" ht="15" hidden="false" customHeight="false" outlineLevel="0" collapsed="false">
      <c r="A9" s="8" t="s">
        <v>46</v>
      </c>
      <c r="B9" s="4" t="s">
        <v>56</v>
      </c>
      <c r="C9" s="4" t="s">
        <v>22</v>
      </c>
      <c r="D9" s="4" t="s">
        <v>57</v>
      </c>
    </row>
    <row r="10" customFormat="false" ht="15" hidden="false" customHeight="false" outlineLevel="0" collapsed="false">
      <c r="A10" s="9" t="s">
        <v>58</v>
      </c>
      <c r="B10" s="4" t="s">
        <v>59</v>
      </c>
      <c r="C10" s="4" t="s">
        <v>17</v>
      </c>
      <c r="D10" s="4" t="s">
        <v>49</v>
      </c>
    </row>
    <row r="11" customFormat="false" ht="15" hidden="false" customHeight="false" outlineLevel="0" collapsed="false">
      <c r="A11" s="9" t="s">
        <v>58</v>
      </c>
      <c r="B11" s="4" t="s">
        <v>60</v>
      </c>
      <c r="C11" s="4" t="s">
        <v>22</v>
      </c>
      <c r="D11" s="4" t="s">
        <v>49</v>
      </c>
    </row>
    <row r="12" customFormat="false" ht="15" hidden="false" customHeight="false" outlineLevel="0" collapsed="false">
      <c r="A12" s="9" t="s">
        <v>58</v>
      </c>
      <c r="B12" s="4" t="s">
        <v>61</v>
      </c>
      <c r="C12" s="4" t="s">
        <v>22</v>
      </c>
      <c r="D12" s="4" t="s">
        <v>49</v>
      </c>
    </row>
    <row r="13" customFormat="false" ht="15" hidden="false" customHeight="false" outlineLevel="0" collapsed="false">
      <c r="A13" s="9" t="s">
        <v>58</v>
      </c>
      <c r="B13" s="4" t="s">
        <v>62</v>
      </c>
      <c r="C13" s="4" t="s">
        <v>22</v>
      </c>
      <c r="D13" s="4" t="s">
        <v>57</v>
      </c>
    </row>
    <row r="14" customFormat="false" ht="15" hidden="false" customHeight="false" outlineLevel="0" collapsed="false">
      <c r="A14" s="9" t="s">
        <v>58</v>
      </c>
      <c r="B14" s="4" t="s">
        <v>63</v>
      </c>
      <c r="C14" s="4" t="s">
        <v>22</v>
      </c>
      <c r="D14" s="4" t="s">
        <v>57</v>
      </c>
    </row>
    <row r="15" customFormat="false" ht="15" hidden="false" customHeight="false" outlineLevel="0" collapsed="false">
      <c r="A15" s="10" t="s">
        <v>64</v>
      </c>
      <c r="B15" s="4" t="s">
        <v>65</v>
      </c>
      <c r="C15" s="4" t="s">
        <v>22</v>
      </c>
      <c r="D15" s="4" t="s">
        <v>57</v>
      </c>
    </row>
    <row r="16" customFormat="false" ht="15" hidden="false" customHeight="false" outlineLevel="0" collapsed="false">
      <c r="A16" s="10" t="s">
        <v>64</v>
      </c>
      <c r="B16" s="4" t="s">
        <v>66</v>
      </c>
      <c r="C16" s="4" t="s">
        <v>22</v>
      </c>
      <c r="D16" s="4" t="s">
        <v>57</v>
      </c>
    </row>
    <row r="17" customFormat="false" ht="15" hidden="false" customHeight="false" outlineLevel="0" collapsed="false">
      <c r="A17" s="10" t="s">
        <v>64</v>
      </c>
      <c r="B17" s="4" t="s">
        <v>67</v>
      </c>
      <c r="C17" s="4" t="s">
        <v>22</v>
      </c>
      <c r="D17" s="4" t="s">
        <v>57</v>
      </c>
    </row>
    <row r="18" customFormat="false" ht="15" hidden="false" customHeight="false" outlineLevel="0" collapsed="false">
      <c r="A18" s="10" t="s">
        <v>64</v>
      </c>
      <c r="B18" s="4" t="s">
        <v>68</v>
      </c>
      <c r="C18" s="4" t="s">
        <v>69</v>
      </c>
      <c r="D18" s="4" t="s">
        <v>57</v>
      </c>
    </row>
    <row r="19" customFormat="false" ht="15" hidden="false" customHeight="false" outlineLevel="0" collapsed="false">
      <c r="A19" s="11" t="s">
        <v>70</v>
      </c>
      <c r="B19" s="4" t="s">
        <v>71</v>
      </c>
      <c r="C19" s="4" t="s">
        <v>51</v>
      </c>
      <c r="D19" s="4" t="s">
        <v>72</v>
      </c>
    </row>
    <row r="20" customFormat="false" ht="15" hidden="false" customHeight="false" outlineLevel="0" collapsed="false">
      <c r="A20" s="11" t="s">
        <v>70</v>
      </c>
      <c r="B20" s="4" t="s">
        <v>73</v>
      </c>
      <c r="C20" s="4" t="s">
        <v>51</v>
      </c>
      <c r="D20" s="4" t="s">
        <v>72</v>
      </c>
    </row>
    <row r="21" customFormat="false" ht="15" hidden="false" customHeight="false" outlineLevel="0" collapsed="false">
      <c r="A21" s="11" t="s">
        <v>70</v>
      </c>
      <c r="B21" s="4" t="s">
        <v>74</v>
      </c>
      <c r="C21" s="4" t="s">
        <v>51</v>
      </c>
      <c r="D21" s="4" t="s">
        <v>72</v>
      </c>
    </row>
    <row r="22" customFormat="false" ht="15" hidden="false" customHeight="false" outlineLevel="0" collapsed="false">
      <c r="A22" s="11" t="s">
        <v>70</v>
      </c>
      <c r="B22" s="4" t="s">
        <v>75</v>
      </c>
      <c r="C22" s="4" t="s">
        <v>51</v>
      </c>
      <c r="D22" s="4" t="s">
        <v>72</v>
      </c>
    </row>
    <row r="23" customFormat="false" ht="15" hidden="false" customHeight="false" outlineLevel="0" collapsed="false">
      <c r="A23" s="11" t="s">
        <v>70</v>
      </c>
      <c r="B23" s="4" t="s">
        <v>76</v>
      </c>
      <c r="C23" s="4" t="s">
        <v>22</v>
      </c>
      <c r="D23" s="4" t="s">
        <v>49</v>
      </c>
    </row>
    <row r="24" customFormat="false" ht="15" hidden="false" customHeight="false" outlineLevel="0" collapsed="false">
      <c r="A24" s="11" t="s">
        <v>70</v>
      </c>
      <c r="B24" s="4" t="s">
        <v>77</v>
      </c>
      <c r="C24" s="4" t="s">
        <v>22</v>
      </c>
      <c r="D24" s="4" t="s">
        <v>57</v>
      </c>
    </row>
    <row r="25" customFormat="false" ht="15" hidden="false" customHeight="false" outlineLevel="0" collapsed="false">
      <c r="A25" s="11" t="s">
        <v>70</v>
      </c>
      <c r="B25" s="4" t="s">
        <v>78</v>
      </c>
      <c r="C25" s="4" t="s">
        <v>22</v>
      </c>
      <c r="D25" s="4" t="s">
        <v>57</v>
      </c>
    </row>
    <row r="26" customFormat="false" ht="15" hidden="false" customHeight="false" outlineLevel="0" collapsed="false">
      <c r="A26" s="11" t="s">
        <v>70</v>
      </c>
      <c r="B26" s="4" t="s">
        <v>79</v>
      </c>
      <c r="C26" s="4" t="s">
        <v>22</v>
      </c>
      <c r="D26" s="4" t="s">
        <v>49</v>
      </c>
    </row>
    <row r="27" customFormat="false" ht="15" hidden="false" customHeight="false" outlineLevel="0" collapsed="false">
      <c r="A27" s="12" t="s">
        <v>80</v>
      </c>
      <c r="B27" s="4" t="s">
        <v>81</v>
      </c>
      <c r="C27" s="4" t="s">
        <v>22</v>
      </c>
      <c r="D27" s="4" t="s">
        <v>82</v>
      </c>
    </row>
    <row r="28" customFormat="false" ht="15" hidden="false" customHeight="false" outlineLevel="0" collapsed="false">
      <c r="A28" s="12" t="s">
        <v>80</v>
      </c>
      <c r="B28" s="4" t="s">
        <v>83</v>
      </c>
      <c r="C28" s="4" t="s">
        <v>22</v>
      </c>
      <c r="D28" s="4" t="s">
        <v>82</v>
      </c>
    </row>
    <row r="29" customFormat="false" ht="15" hidden="false" customHeight="false" outlineLevel="0" collapsed="false">
      <c r="A29" s="12" t="s">
        <v>80</v>
      </c>
      <c r="B29" s="4" t="s">
        <v>84</v>
      </c>
      <c r="C29" s="4" t="s">
        <v>22</v>
      </c>
      <c r="D29" s="4" t="s">
        <v>85</v>
      </c>
    </row>
    <row r="30" customFormat="false" ht="15" hidden="false" customHeight="false" outlineLevel="0" collapsed="false">
      <c r="A30" s="12" t="s">
        <v>80</v>
      </c>
      <c r="B30" s="4" t="s">
        <v>86</v>
      </c>
      <c r="C30" s="4" t="s">
        <v>22</v>
      </c>
      <c r="D30" s="4" t="s">
        <v>87</v>
      </c>
    </row>
    <row r="31" customFormat="false" ht="15" hidden="false" customHeight="false" outlineLevel="0" collapsed="false">
      <c r="A31" s="12" t="s">
        <v>80</v>
      </c>
      <c r="B31" s="4" t="s">
        <v>88</v>
      </c>
      <c r="C31" s="4" t="s">
        <v>22</v>
      </c>
      <c r="D31" s="4" t="s">
        <v>89</v>
      </c>
    </row>
    <row r="32" customFormat="false" ht="15" hidden="false" customHeight="false" outlineLevel="0" collapsed="false">
      <c r="A32" s="12" t="s">
        <v>80</v>
      </c>
      <c r="B32" s="4" t="s">
        <v>90</v>
      </c>
      <c r="C32" s="4" t="s">
        <v>22</v>
      </c>
      <c r="D32" s="4" t="s">
        <v>91</v>
      </c>
    </row>
    <row r="33" customFormat="false" ht="15" hidden="false" customHeight="false" outlineLevel="0" collapsed="false">
      <c r="A33" s="12" t="s">
        <v>80</v>
      </c>
      <c r="B33" s="4" t="s">
        <v>92</v>
      </c>
      <c r="C33" s="4" t="s">
        <v>69</v>
      </c>
      <c r="D33" s="4" t="s">
        <v>57</v>
      </c>
    </row>
    <row r="35" customFormat="false" ht="15" hidden="false" customHeight="false" outlineLevel="0" collapsed="false">
      <c r="A35" s="13" t="s">
        <v>93</v>
      </c>
    </row>
    <row r="36" customFormat="false" ht="15" hidden="false" customHeight="false" outlineLevel="0" collapsed="false">
      <c r="A36" s="3" t="s">
        <v>2</v>
      </c>
      <c r="B36" s="3" t="s">
        <v>94</v>
      </c>
      <c r="C36" s="3" t="s">
        <v>95</v>
      </c>
      <c r="D36" s="3" t="s">
        <v>96</v>
      </c>
    </row>
    <row r="37" customFormat="false" ht="15" hidden="false" customHeight="false" outlineLevel="0" collapsed="false">
      <c r="A37" s="14" t="s">
        <v>46</v>
      </c>
      <c r="B37" s="14" t="n">
        <f aca="false">COUNTIF($A$4:$A$33,A37)</f>
        <v>6</v>
      </c>
      <c r="C37" s="14" t="n">
        <f aca="false">COUNTIFS($A$4:$A$33,A37,$D$4:$D$33,"Listo*")</f>
        <v>1</v>
      </c>
      <c r="D37" s="14" t="n">
        <f aca="false">B37-C37</f>
        <v>5</v>
      </c>
    </row>
    <row r="38" customFormat="false" ht="15" hidden="false" customHeight="false" outlineLevel="0" collapsed="false">
      <c r="A38" s="14" t="s">
        <v>58</v>
      </c>
      <c r="B38" s="14" t="n">
        <f aca="false">COUNTIF($A$4:$A$33,A38)</f>
        <v>5</v>
      </c>
      <c r="C38" s="14" t="n">
        <f aca="false">COUNTIFS($A$4:$A$33,A38,$D$4:$D$33,"Listo*")</f>
        <v>0</v>
      </c>
      <c r="D38" s="14" t="n">
        <f aca="false">B38-C38</f>
        <v>5</v>
      </c>
    </row>
    <row r="39" customFormat="false" ht="15" hidden="false" customHeight="false" outlineLevel="0" collapsed="false">
      <c r="A39" s="14" t="s">
        <v>64</v>
      </c>
      <c r="B39" s="14" t="n">
        <f aca="false">COUNTIF($A$4:$A$33,A39)</f>
        <v>4</v>
      </c>
      <c r="C39" s="14" t="n">
        <f aca="false">COUNTIFS($A$4:$A$33,A39,$D$4:$D$33,"Listo*")</f>
        <v>0</v>
      </c>
      <c r="D39" s="14" t="n">
        <f aca="false">B39-C39</f>
        <v>4</v>
      </c>
    </row>
    <row r="40" customFormat="false" ht="15" hidden="false" customHeight="false" outlineLevel="0" collapsed="false">
      <c r="A40" s="14" t="s">
        <v>70</v>
      </c>
      <c r="B40" s="14" t="n">
        <f aca="false">COUNTIF($A$4:$A$33,A40)</f>
        <v>8</v>
      </c>
      <c r="C40" s="14" t="n">
        <f aca="false">COUNTIFS($A$4:$A$33,A40,$D$4:$D$33,"Listo*")</f>
        <v>4</v>
      </c>
      <c r="D40" s="14" t="n">
        <f aca="false">B40-C40</f>
        <v>4</v>
      </c>
    </row>
    <row r="41" customFormat="false" ht="15" hidden="false" customHeight="false" outlineLevel="0" collapsed="false">
      <c r="A41" s="14" t="s">
        <v>80</v>
      </c>
      <c r="B41" s="14" t="n">
        <f aca="false">COUNTIF($A$4:$A$33,A41)</f>
        <v>7</v>
      </c>
      <c r="C41" s="14" t="n">
        <f aca="false">COUNTIFS($A$4:$A$33,A41,$D$4:$D$33,"Listo*")</f>
        <v>6</v>
      </c>
      <c r="D41" s="14" t="n">
        <f aca="false">B41-C41</f>
        <v>1</v>
      </c>
    </row>
  </sheetData>
  <conditionalFormatting sqref="D4:D33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D4="En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42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</row>
    <row r="5" customFormat="false" ht="23.85" hidden="false" customHeight="false" outlineLevel="0" collapsed="false">
      <c r="A5" s="14" t="n">
        <v>1</v>
      </c>
      <c r="B5" s="4" t="s">
        <v>107</v>
      </c>
      <c r="C5" s="15" t="s">
        <v>108</v>
      </c>
      <c r="D5" s="15" t="s">
        <v>109</v>
      </c>
      <c r="E5" s="15" t="s">
        <v>110</v>
      </c>
      <c r="F5" s="15" t="s">
        <v>110</v>
      </c>
      <c r="G5" s="15" t="s">
        <v>110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50</v>
      </c>
      <c r="C6" s="15" t="s">
        <v>109</v>
      </c>
      <c r="D6" s="15" t="s">
        <v>108</v>
      </c>
      <c r="E6" s="15" t="s">
        <v>110</v>
      </c>
      <c r="F6" s="15" t="s">
        <v>108</v>
      </c>
      <c r="G6" s="15" t="s">
        <v>110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111</v>
      </c>
      <c r="C7" s="15" t="s">
        <v>109</v>
      </c>
      <c r="D7" s="15" t="s">
        <v>108</v>
      </c>
      <c r="E7" s="15" t="s">
        <v>108</v>
      </c>
      <c r="F7" s="15" t="s">
        <v>108</v>
      </c>
      <c r="G7" s="15" t="s">
        <v>110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112</v>
      </c>
      <c r="C8" s="15" t="s">
        <v>109</v>
      </c>
      <c r="D8" s="15" t="s">
        <v>110</v>
      </c>
      <c r="E8" s="15" t="s">
        <v>113</v>
      </c>
      <c r="F8" s="15" t="s">
        <v>108</v>
      </c>
      <c r="G8" s="15" t="s">
        <v>110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114</v>
      </c>
      <c r="C9" s="15" t="s">
        <v>113</v>
      </c>
      <c r="D9" s="15" t="s">
        <v>110</v>
      </c>
      <c r="E9" s="15" t="s">
        <v>108</v>
      </c>
      <c r="F9" s="15" t="s">
        <v>109</v>
      </c>
      <c r="G9" s="15" t="s">
        <v>110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115</v>
      </c>
      <c r="C10" s="15" t="s">
        <v>109</v>
      </c>
      <c r="D10" s="15" t="s">
        <v>110</v>
      </c>
      <c r="E10" s="15" t="s">
        <v>110</v>
      </c>
      <c r="F10" s="15" t="s">
        <v>108</v>
      </c>
      <c r="G10" s="15" t="s">
        <v>108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116</v>
      </c>
      <c r="C11" s="15" t="s">
        <v>108</v>
      </c>
      <c r="D11" s="15" t="s">
        <v>110</v>
      </c>
      <c r="E11" s="15" t="s">
        <v>110</v>
      </c>
      <c r="F11" s="15" t="s">
        <v>109</v>
      </c>
      <c r="G11" s="15" t="s">
        <v>110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117</v>
      </c>
      <c r="C12" s="15" t="s">
        <v>108</v>
      </c>
      <c r="D12" s="15" t="s">
        <v>108</v>
      </c>
      <c r="E12" s="15" t="s">
        <v>108</v>
      </c>
      <c r="F12" s="15" t="s">
        <v>108</v>
      </c>
      <c r="G12" s="15" t="s">
        <v>109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118</v>
      </c>
      <c r="C13" s="15" t="s">
        <v>119</v>
      </c>
      <c r="D13" s="15" t="s">
        <v>113</v>
      </c>
      <c r="E13" s="15" t="s">
        <v>113</v>
      </c>
      <c r="F13" s="15" t="s">
        <v>108</v>
      </c>
      <c r="G13" s="15" t="s">
        <v>108</v>
      </c>
      <c r="H13" s="14" t="str">
        <f aca="false">IF(AND(COUNTIF(C13:G13,"*R*")&gt;=1,COUNTIF(C13:G13,"A*")=1),"OK","Revisar")</f>
        <v>OK</v>
      </c>
    </row>
    <row r="14" customFormat="false" ht="15" hidden="false" customHeight="false" outlineLevel="0" collapsed="false">
      <c r="A14" s="14" t="n">
        <v>10</v>
      </c>
      <c r="B14" s="4" t="s">
        <v>120</v>
      </c>
      <c r="C14" s="15" t="s">
        <v>109</v>
      </c>
      <c r="D14" s="15" t="s">
        <v>113</v>
      </c>
      <c r="E14" s="15" t="s">
        <v>113</v>
      </c>
      <c r="F14" s="15" t="s">
        <v>113</v>
      </c>
      <c r="G14" s="15" t="s">
        <v>113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121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122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123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20" min="9" style="0" width="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  <c r="E2" s="18" t="n">
        <v>46300</v>
      </c>
      <c r="F2" s="2" t="s">
        <v>126</v>
      </c>
    </row>
    <row r="4" customFormat="false" ht="30" hidden="false" customHeight="true" outlineLevel="0" collapsed="false">
      <c r="A4" s="3" t="s">
        <v>127</v>
      </c>
      <c r="B4" s="3" t="s">
        <v>43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  <c r="O4" s="3" t="s">
        <v>140</v>
      </c>
      <c r="P4" s="3" t="s">
        <v>141</v>
      </c>
      <c r="Q4" s="3" t="s">
        <v>142</v>
      </c>
      <c r="R4" s="3" t="s">
        <v>143</v>
      </c>
      <c r="S4" s="3" t="s">
        <v>144</v>
      </c>
      <c r="T4" s="3" t="s">
        <v>145</v>
      </c>
    </row>
    <row r="5" customFormat="false" ht="15" hidden="false" customHeight="false" outlineLevel="0" collapsed="false">
      <c r="B5" s="19" t="s">
        <v>146</v>
      </c>
      <c r="I5" s="20" t="n">
        <f aca="false">$E$2+0</f>
        <v>46300</v>
      </c>
      <c r="J5" s="20" t="n">
        <f aca="false">$E$2+7</f>
        <v>46307</v>
      </c>
      <c r="K5" s="20" t="n">
        <f aca="false">$E$2+14</f>
        <v>46314</v>
      </c>
      <c r="L5" s="20" t="n">
        <f aca="false">$E$2+21</f>
        <v>46321</v>
      </c>
      <c r="M5" s="20" t="n">
        <f aca="false">$E$2+28</f>
        <v>46328</v>
      </c>
      <c r="N5" s="20" t="n">
        <f aca="false">$E$2+35</f>
        <v>46335</v>
      </c>
      <c r="O5" s="20" t="n">
        <f aca="false">$E$2+42</f>
        <v>46342</v>
      </c>
      <c r="P5" s="20" t="n">
        <f aca="false">$E$2+49</f>
        <v>46349</v>
      </c>
      <c r="Q5" s="20" t="n">
        <f aca="false">$E$2+56</f>
        <v>46356</v>
      </c>
      <c r="R5" s="20" t="n">
        <f aca="false">$E$2+63</f>
        <v>46363</v>
      </c>
      <c r="S5" s="20" t="n">
        <f aca="false">$E$2+70</f>
        <v>46370</v>
      </c>
      <c r="T5" s="20" t="n">
        <f aca="false">$E$2+77</f>
        <v>46377</v>
      </c>
    </row>
    <row r="6" customFormat="false" ht="15" hidden="false" customHeight="false" outlineLevel="0" collapsed="false">
      <c r="A6" s="21" t="s">
        <v>147</v>
      </c>
      <c r="B6" s="21" t="s">
        <v>148</v>
      </c>
      <c r="C6" s="21"/>
      <c r="D6" s="21" t="s">
        <v>149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customFormat="false" ht="15" hidden="false" customHeight="false" outlineLevel="0" collapsed="false">
      <c r="A7" s="14" t="s">
        <v>150</v>
      </c>
      <c r="B7" s="4" t="s">
        <v>151</v>
      </c>
      <c r="C7" s="14" t="s">
        <v>46</v>
      </c>
      <c r="D7" s="4" t="s">
        <v>149</v>
      </c>
      <c r="E7" s="22" t="n">
        <v>46300</v>
      </c>
      <c r="F7" s="23" t="n">
        <v>1</v>
      </c>
      <c r="G7" s="24" t="n">
        <f aca="false">E7+F7*7-3</f>
        <v>46304</v>
      </c>
      <c r="H7" s="14" t="s">
        <v>152</v>
      </c>
      <c r="I7" s="25" t="str">
        <f aca="false">IF(AND(I$5&gt;=$E7-6,I$5&lt;=$G7),"■","")</f>
        <v>■</v>
      </c>
      <c r="J7" s="25" t="str">
        <f aca="false">IF(AND(J$5&gt;=$E7-6,J$5&lt;=$G7),"■","")</f>
        <v/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</row>
    <row r="8" customFormat="false" ht="23.85" hidden="false" customHeight="false" outlineLevel="0" collapsed="false">
      <c r="A8" s="14" t="s">
        <v>153</v>
      </c>
      <c r="B8" s="4" t="s">
        <v>154</v>
      </c>
      <c r="C8" s="14" t="s">
        <v>80</v>
      </c>
      <c r="D8" s="4" t="s">
        <v>17</v>
      </c>
      <c r="E8" s="22" t="n">
        <v>46307</v>
      </c>
      <c r="F8" s="23" t="n">
        <v>2</v>
      </c>
      <c r="G8" s="24" t="n">
        <f aca="false">E8+F8*7-3</f>
        <v>46318</v>
      </c>
      <c r="H8" s="14" t="s">
        <v>150</v>
      </c>
      <c r="I8" s="25" t="str">
        <f aca="false">IF(AND(I$5&gt;=$E8-6,I$5&lt;=$G8),"■","")</f>
        <v/>
      </c>
      <c r="J8" s="25" t="str">
        <f aca="false">IF(AND(J$5&gt;=$E8-6,J$5&lt;=$G8),"■","")</f>
        <v>■</v>
      </c>
      <c r="K8" s="25" t="str">
        <f aca="false">IF(AND(K$5&gt;=$E8-6,K$5&lt;=$G8),"■","")</f>
        <v>■</v>
      </c>
      <c r="L8" s="25" t="str">
        <f aca="false">IF(AND(L$5&gt;=$E8-6,L$5&lt;=$G8),"■","")</f>
        <v/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</row>
    <row r="9" customFormat="false" ht="15" hidden="false" customHeight="false" outlineLevel="0" collapsed="false">
      <c r="A9" s="21" t="s">
        <v>155</v>
      </c>
      <c r="B9" s="21" t="s">
        <v>156</v>
      </c>
      <c r="C9" s="21"/>
      <c r="D9" s="21" t="s">
        <v>51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</row>
    <row r="10" customFormat="false" ht="15" hidden="false" customHeight="false" outlineLevel="0" collapsed="false">
      <c r="A10" s="14" t="s">
        <v>157</v>
      </c>
      <c r="B10" s="4" t="s">
        <v>158</v>
      </c>
      <c r="C10" s="14" t="s">
        <v>46</v>
      </c>
      <c r="D10" s="4" t="s">
        <v>51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150</v>
      </c>
      <c r="I10" s="25" t="str">
        <f aca="false">IF(AND(I$5&gt;=$E10-6,I$5&lt;=$G10),"■","")</f>
        <v/>
      </c>
      <c r="J10" s="25" t="str">
        <f aca="false">IF(AND(J$5&gt;=$E10-6,J$5&lt;=$G10),"■","")</f>
        <v>■</v>
      </c>
      <c r="K10" s="25" t="str">
        <f aca="false">IF(AND(K$5&gt;=$E10-6,K$5&lt;=$G10),"■","")</f>
        <v/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</row>
    <row r="11" customFormat="false" ht="15" hidden="false" customHeight="false" outlineLevel="0" collapsed="false">
      <c r="A11" s="14" t="s">
        <v>159</v>
      </c>
      <c r="B11" s="4" t="s">
        <v>50</v>
      </c>
      <c r="C11" s="14" t="s">
        <v>46</v>
      </c>
      <c r="D11" s="4" t="s">
        <v>51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157</v>
      </c>
      <c r="I11" s="25" t="str">
        <f aca="false">IF(AND(I$5&gt;=$E11-6,I$5&lt;=$G11),"■","")</f>
        <v/>
      </c>
      <c r="J11" s="25" t="str">
        <f aca="false">IF(AND(J$5&gt;=$E11-6,J$5&lt;=$G11),"■","")</f>
        <v>■</v>
      </c>
      <c r="K11" s="25" t="str">
        <f aca="false">IF(AND(K$5&gt;=$E11-6,K$5&lt;=$G11),"■","")</f>
        <v/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</row>
    <row r="12" customFormat="false" ht="15" hidden="false" customHeight="false" outlineLevel="0" collapsed="false">
      <c r="A12" s="14" t="s">
        <v>160</v>
      </c>
      <c r="B12" s="4" t="s">
        <v>161</v>
      </c>
      <c r="C12" s="14" t="s">
        <v>46</v>
      </c>
      <c r="D12" s="4" t="s">
        <v>17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157</v>
      </c>
      <c r="I12" s="25" t="str">
        <f aca="false">IF(AND(I$5&gt;=$E12-6,I$5&lt;=$G12),"■","")</f>
        <v/>
      </c>
      <c r="J12" s="25" t="str">
        <f aca="false">IF(AND(J$5&gt;=$E12-6,J$5&lt;=$G12),"■","")</f>
        <v>■</v>
      </c>
      <c r="K12" s="25" t="str">
        <f aca="false">IF(AND(K$5&gt;=$E12-6,K$5&lt;=$G12),"■","")</f>
        <v>■</v>
      </c>
      <c r="L12" s="25" t="str">
        <f aca="false">IF(AND(L$5&gt;=$E12-6,L$5&lt;=$G12),"■","")</f>
        <v/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</row>
    <row r="13" customFormat="false" ht="15" hidden="false" customHeight="false" outlineLevel="0" collapsed="false">
      <c r="A13" s="14" t="s">
        <v>162</v>
      </c>
      <c r="B13" s="4" t="s">
        <v>163</v>
      </c>
      <c r="C13" s="14" t="s">
        <v>70</v>
      </c>
      <c r="D13" s="4" t="s">
        <v>17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157</v>
      </c>
      <c r="I13" s="25" t="str">
        <f aca="false">IF(AND(I$5&gt;=$E13-6,I$5&lt;=$G13),"■","")</f>
        <v/>
      </c>
      <c r="J13" s="25" t="str">
        <f aca="false">IF(AND(J$5&gt;=$E13-6,J$5&lt;=$G13),"■","")</f>
        <v>■</v>
      </c>
      <c r="K13" s="25" t="str">
        <f aca="false">IF(AND(K$5&gt;=$E13-6,K$5&lt;=$G13),"■","")</f>
        <v>■</v>
      </c>
      <c r="L13" s="25" t="str">
        <f aca="false">IF(AND(L$5&gt;=$E13-6,L$5&lt;=$G13),"■","")</f>
        <v/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</row>
    <row r="14" customFormat="false" ht="15" hidden="false" customHeight="false" outlineLevel="0" collapsed="false">
      <c r="A14" s="21" t="s">
        <v>164</v>
      </c>
      <c r="B14" s="21" t="s">
        <v>165</v>
      </c>
      <c r="C14" s="21"/>
      <c r="D14" s="21" t="s">
        <v>22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customFormat="false" ht="15" hidden="false" customHeight="false" outlineLevel="0" collapsed="false">
      <c r="A15" s="14" t="s">
        <v>166</v>
      </c>
      <c r="B15" s="4" t="s">
        <v>167</v>
      </c>
      <c r="C15" s="14" t="s">
        <v>58</v>
      </c>
      <c r="D15" s="4" t="s">
        <v>17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159</v>
      </c>
      <c r="I15" s="25" t="str">
        <f aca="false">IF(AND(I$5&gt;=$E15-6,I$5&lt;=$G15),"■","")</f>
        <v/>
      </c>
      <c r="J15" s="25" t="str">
        <f aca="false">IF(AND(J$5&gt;=$E15-6,J$5&lt;=$G15),"■","")</f>
        <v>■</v>
      </c>
      <c r="K15" s="25" t="str">
        <f aca="false">IF(AND(K$5&gt;=$E15-6,K$5&lt;=$G15),"■","")</f>
        <v>■</v>
      </c>
      <c r="L15" s="25" t="str">
        <f aca="false">IF(AND(L$5&gt;=$E15-6,L$5&lt;=$G15),"■","")</f>
        <v/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</row>
    <row r="16" customFormat="false" ht="15" hidden="false" customHeight="false" outlineLevel="0" collapsed="false">
      <c r="A16" s="14" t="s">
        <v>168</v>
      </c>
      <c r="B16" s="4" t="s">
        <v>169</v>
      </c>
      <c r="C16" s="14" t="s">
        <v>46</v>
      </c>
      <c r="D16" s="4" t="s">
        <v>17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170</v>
      </c>
      <c r="I16" s="25" t="str">
        <f aca="false">IF(AND(I$5&gt;=$E16-6,I$5&lt;=$G16),"■","")</f>
        <v/>
      </c>
      <c r="J16" s="25" t="str">
        <f aca="false">IF(AND(J$5&gt;=$E16-6,J$5&lt;=$G16),"■","")</f>
        <v>■</v>
      </c>
      <c r="K16" s="25" t="str">
        <f aca="false">IF(AND(K$5&gt;=$E16-6,K$5&lt;=$G16),"■","")</f>
        <v>■</v>
      </c>
      <c r="L16" s="25" t="str">
        <f aca="false">IF(AND(L$5&gt;=$E16-6,L$5&lt;=$G16),"■","")</f>
        <v/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</row>
    <row r="17" customFormat="false" ht="23.85" hidden="false" customHeight="false" outlineLevel="0" collapsed="false">
      <c r="A17" s="14" t="s">
        <v>171</v>
      </c>
      <c r="B17" s="4" t="s">
        <v>76</v>
      </c>
      <c r="C17" s="14" t="s">
        <v>70</v>
      </c>
      <c r="D17" s="4" t="s">
        <v>22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162</v>
      </c>
      <c r="I17" s="25" t="str">
        <f aca="false">IF(AND(I$5&gt;=$E17-6,I$5&lt;=$G17),"■","")</f>
        <v/>
      </c>
      <c r="J17" s="25" t="str">
        <f aca="false">IF(AND(J$5&gt;=$E17-6,J$5&lt;=$G17),"■","")</f>
        <v/>
      </c>
      <c r="K17" s="25" t="str">
        <f aca="false">IF(AND(K$5&gt;=$E17-6,K$5&lt;=$G17),"■","")</f>
        <v>■</v>
      </c>
      <c r="L17" s="25" t="str">
        <f aca="false">IF(AND(L$5&gt;=$E17-6,L$5&lt;=$G17),"■","")</f>
        <v/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</row>
    <row r="18" customFormat="false" ht="15" hidden="false" customHeight="false" outlineLevel="0" collapsed="false">
      <c r="A18" s="14" t="s">
        <v>172</v>
      </c>
      <c r="B18" s="4" t="s">
        <v>78</v>
      </c>
      <c r="C18" s="14" t="s">
        <v>70</v>
      </c>
      <c r="D18" s="4" t="s">
        <v>22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173</v>
      </c>
      <c r="I18" s="25" t="str">
        <f aca="false">IF(AND(I$5&gt;=$E18-6,I$5&lt;=$G18),"■","")</f>
        <v/>
      </c>
      <c r="J18" s="25" t="str">
        <f aca="false">IF(AND(J$5&gt;=$E18-6,J$5&lt;=$G18),"■","")</f>
        <v/>
      </c>
      <c r="K18" s="25" t="str">
        <f aca="false">IF(AND(K$5&gt;=$E18-6,K$5&lt;=$G18),"■","")</f>
        <v>■</v>
      </c>
      <c r="L18" s="25" t="str">
        <f aca="false">IF(AND(L$5&gt;=$E18-6,L$5&lt;=$G18),"■","")</f>
        <v/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</row>
    <row r="19" customFormat="false" ht="15" hidden="false" customHeight="false" outlineLevel="0" collapsed="false">
      <c r="A19" s="14" t="s">
        <v>174</v>
      </c>
      <c r="B19" s="4" t="s">
        <v>175</v>
      </c>
      <c r="C19" s="14" t="s">
        <v>64</v>
      </c>
      <c r="D19" s="4" t="s">
        <v>22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168</v>
      </c>
      <c r="I19" s="25" t="str">
        <f aca="false">IF(AND(I$5&gt;=$E19-6,I$5&lt;=$G19),"■","")</f>
        <v/>
      </c>
      <c r="J19" s="25" t="str">
        <f aca="false">IF(AND(J$5&gt;=$E19-6,J$5&lt;=$G19),"■","")</f>
        <v/>
      </c>
      <c r="K19" s="25" t="str">
        <f aca="false">IF(AND(K$5&gt;=$E19-6,K$5&lt;=$G19),"■","")</f>
        <v>■</v>
      </c>
      <c r="L19" s="25" t="str">
        <f aca="false">IF(AND(L$5&gt;=$E19-6,L$5&lt;=$G19),"■","")</f>
        <v/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</row>
    <row r="20" customFormat="false" ht="15" hidden="false" customHeight="false" outlineLevel="0" collapsed="false">
      <c r="A20" s="14" t="s">
        <v>176</v>
      </c>
      <c r="B20" s="4" t="s">
        <v>56</v>
      </c>
      <c r="C20" s="14" t="s">
        <v>46</v>
      </c>
      <c r="D20" s="4" t="s">
        <v>22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177</v>
      </c>
      <c r="I20" s="25" t="str">
        <f aca="false">IF(AND(I$5&gt;=$E20-6,I$5&lt;=$G20),"■","")</f>
        <v/>
      </c>
      <c r="J20" s="25" t="str">
        <f aca="false">IF(AND(J$5&gt;=$E20-6,J$5&lt;=$G20),"■","")</f>
        <v/>
      </c>
      <c r="K20" s="25" t="str">
        <f aca="false">IF(AND(K$5&gt;=$E20-6,K$5&lt;=$G20),"■","")</f>
        <v>■</v>
      </c>
      <c r="L20" s="25" t="str">
        <f aca="false">IF(AND(L$5&gt;=$E20-6,L$5&lt;=$G20),"■","")</f>
        <v/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</row>
    <row r="21" customFormat="false" ht="15" hidden="false" customHeight="false" outlineLevel="0" collapsed="false">
      <c r="A21" s="21" t="s">
        <v>178</v>
      </c>
      <c r="B21" s="21" t="s">
        <v>179</v>
      </c>
      <c r="C21" s="21"/>
      <c r="D21" s="21" t="s">
        <v>180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customFormat="false" ht="15" hidden="false" customHeight="false" outlineLevel="0" collapsed="false">
      <c r="A22" s="14" t="s">
        <v>181</v>
      </c>
      <c r="B22" s="4" t="s">
        <v>182</v>
      </c>
      <c r="C22" s="14" t="s">
        <v>46</v>
      </c>
      <c r="D22" s="4" t="s">
        <v>130</v>
      </c>
      <c r="E22" s="22" t="n">
        <v>46321</v>
      </c>
      <c r="F22" s="23" t="n">
        <v>1</v>
      </c>
      <c r="G22" s="24" t="n">
        <f aca="false">E22+F22*7-3</f>
        <v>46325</v>
      </c>
      <c r="H22" s="14" t="s">
        <v>176</v>
      </c>
      <c r="I22" s="25" t="str">
        <f aca="false">IF(AND(I$5&gt;=$E22-6,I$5&lt;=$G22),"■","")</f>
        <v/>
      </c>
      <c r="J22" s="25" t="str">
        <f aca="false">IF(AND(J$5&gt;=$E22-6,J$5&lt;=$G22),"■","")</f>
        <v/>
      </c>
      <c r="K22" s="25" t="str">
        <f aca="false">IF(AND(K$5&gt;=$E22-6,K$5&lt;=$G22),"■","")</f>
        <v/>
      </c>
      <c r="L22" s="25" t="str">
        <f aca="false">IF(AND(L$5&gt;=$E22-6,L$5&lt;=$G22),"■","")</f>
        <v>■</v>
      </c>
      <c r="M22" s="25" t="str">
        <f aca="false">IF(AND(M$5&gt;=$E22-6,M$5&lt;=$G22),"■","")</f>
        <v/>
      </c>
      <c r="N22" s="25" t="str">
        <f aca="false">IF(AND(N$5&gt;=$E22-6,N$5&lt;=$G22),"■","")</f>
        <v/>
      </c>
      <c r="O22" s="25" t="str">
        <f aca="false">IF(AND(O$5&gt;=$E22-6,O$5&lt;=$G22),"■","")</f>
        <v/>
      </c>
      <c r="P22" s="25" t="str">
        <f aca="false">IF(AND(P$5&gt;=$E22-6,P$5&lt;=$G22),"■","")</f>
        <v/>
      </c>
      <c r="Q22" s="25" t="str">
        <f aca="false">IF(AND(Q$5&gt;=$E22-6,Q$5&lt;=$G22),"■","")</f>
        <v/>
      </c>
      <c r="R22" s="25" t="str">
        <f aca="false">IF(AND(R$5&gt;=$E22-6,R$5&lt;=$G22),"■","")</f>
        <v/>
      </c>
      <c r="S22" s="25" t="str">
        <f aca="false">IF(AND(S$5&gt;=$E22-6,S$5&lt;=$G22),"■","")</f>
        <v/>
      </c>
      <c r="T22" s="25" t="str">
        <f aca="false">IF(AND(T$5&gt;=$E22-6,T$5&lt;=$G22),"■","")</f>
        <v/>
      </c>
    </row>
    <row r="23" customFormat="false" ht="23.85" hidden="false" customHeight="false" outlineLevel="0" collapsed="false">
      <c r="A23" s="14" t="s">
        <v>183</v>
      </c>
      <c r="B23" s="4" t="s">
        <v>184</v>
      </c>
      <c r="C23" s="14" t="s">
        <v>80</v>
      </c>
      <c r="D23" s="4" t="s">
        <v>185</v>
      </c>
      <c r="E23" s="22" t="n">
        <v>46328</v>
      </c>
      <c r="F23" s="23" t="n">
        <v>1</v>
      </c>
      <c r="G23" s="24" t="n">
        <f aca="false">E23+F23*7-3</f>
        <v>46332</v>
      </c>
      <c r="H23" s="14" t="s">
        <v>181</v>
      </c>
      <c r="I23" s="25" t="str">
        <f aca="false">IF(AND(I$5&gt;=$E23-6,I$5&lt;=$G23),"■","")</f>
        <v/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</row>
    <row r="24" customFormat="false" ht="15" hidden="false" customHeight="false" outlineLevel="0" collapsed="false">
      <c r="A24" s="14" t="s">
        <v>186</v>
      </c>
      <c r="B24" s="4" t="s">
        <v>187</v>
      </c>
      <c r="C24" s="14" t="s">
        <v>58</v>
      </c>
      <c r="D24" s="4" t="s">
        <v>188</v>
      </c>
      <c r="E24" s="22" t="n">
        <v>46335</v>
      </c>
      <c r="F24" s="23" t="n">
        <v>2</v>
      </c>
      <c r="G24" s="24" t="n">
        <f aca="false">E24+F24*7-3</f>
        <v>46346</v>
      </c>
      <c r="H24" s="14" t="s">
        <v>183</v>
      </c>
      <c r="I24" s="25" t="str">
        <f aca="false">IF(AND(I$5&gt;=$E24-6,I$5&lt;=$G24),"■","")</f>
        <v/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>■</v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</row>
    <row r="25" customFormat="false" ht="15" hidden="false" customHeight="false" outlineLevel="0" collapsed="false">
      <c r="A25" s="14" t="s">
        <v>189</v>
      </c>
      <c r="B25" s="4" t="s">
        <v>190</v>
      </c>
      <c r="C25" s="14" t="s">
        <v>64</v>
      </c>
      <c r="D25" s="4" t="s">
        <v>188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183</v>
      </c>
      <c r="I25" s="25" t="str">
        <f aca="false">IF(AND(I$5&gt;=$E25-6,I$5&lt;=$G25),"■","")</f>
        <v/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>■</v>
      </c>
      <c r="O25" s="25" t="str">
        <f aca="false">IF(AND(O$5&gt;=$E25-6,O$5&lt;=$G25),"■","")</f>
        <v>■</v>
      </c>
      <c r="P25" s="25" t="str">
        <f aca="false">IF(AND(P$5&gt;=$E25-6,P$5&lt;=$G25),"■","")</f>
        <v/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</row>
    <row r="26" customFormat="false" ht="15" hidden="false" customHeight="false" outlineLevel="0" collapsed="false">
      <c r="A26" s="14" t="s">
        <v>191</v>
      </c>
      <c r="B26" s="4" t="s">
        <v>192</v>
      </c>
      <c r="C26" s="14" t="s">
        <v>70</v>
      </c>
      <c r="D26" s="4" t="s">
        <v>188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183</v>
      </c>
      <c r="I26" s="25" t="str">
        <f aca="false">IF(AND(I$5&gt;=$E26-6,I$5&lt;=$G26),"■","")</f>
        <v/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>■</v>
      </c>
      <c r="O26" s="25" t="str">
        <f aca="false">IF(AND(O$5&gt;=$E26-6,O$5&lt;=$G26),"■","")</f>
        <v>■</v>
      </c>
      <c r="P26" s="25" t="str">
        <f aca="false">IF(AND(P$5&gt;=$E26-6,P$5&lt;=$G26),"■","")</f>
        <v/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</row>
    <row r="27" customFormat="false" ht="15" hidden="false" customHeight="false" outlineLevel="0" collapsed="false">
      <c r="A27" s="14" t="s">
        <v>193</v>
      </c>
      <c r="B27" s="4" t="s">
        <v>194</v>
      </c>
      <c r="C27" s="14" t="s">
        <v>70</v>
      </c>
      <c r="D27" s="4" t="s">
        <v>195</v>
      </c>
      <c r="E27" s="22" t="n">
        <v>46349</v>
      </c>
      <c r="F27" s="23" t="n">
        <v>1</v>
      </c>
      <c r="G27" s="24" t="n">
        <f aca="false">E27+F27*7-3</f>
        <v>46353</v>
      </c>
      <c r="H27" s="14" t="s">
        <v>196</v>
      </c>
      <c r="I27" s="25" t="str">
        <f aca="false">IF(AND(I$5&gt;=$E27-6,I$5&lt;=$G27),"■","")</f>
        <v/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/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</row>
    <row r="28" customFormat="false" ht="15" hidden="false" customHeight="false" outlineLevel="0" collapsed="false">
      <c r="A28" s="14" t="s">
        <v>197</v>
      </c>
      <c r="B28" s="4" t="s">
        <v>198</v>
      </c>
      <c r="C28" s="14" t="s">
        <v>80</v>
      </c>
      <c r="D28" s="4" t="s">
        <v>188</v>
      </c>
      <c r="E28" s="22" t="n">
        <v>46356</v>
      </c>
      <c r="F28" s="23" t="n">
        <v>1</v>
      </c>
      <c r="G28" s="24" t="n">
        <f aca="false">E28+F28*7-3</f>
        <v>46360</v>
      </c>
      <c r="H28" s="14" t="s">
        <v>193</v>
      </c>
      <c r="I28" s="25" t="str">
        <f aca="false">IF(AND(I$5&gt;=$E28-6,I$5&lt;=$G28),"■","")</f>
        <v/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</row>
    <row r="29" customFormat="false" ht="15" hidden="false" customHeight="false" outlineLevel="0" collapsed="false">
      <c r="A29" s="14" t="s">
        <v>199</v>
      </c>
      <c r="B29" s="4" t="s">
        <v>200</v>
      </c>
      <c r="C29" s="14" t="s">
        <v>58</v>
      </c>
      <c r="D29" s="4" t="s">
        <v>188</v>
      </c>
      <c r="E29" s="22" t="n">
        <v>46363</v>
      </c>
      <c r="F29" s="23" t="n">
        <v>1</v>
      </c>
      <c r="G29" s="24" t="n">
        <f aca="false">E29+F29*7-3</f>
        <v>46367</v>
      </c>
      <c r="H29" s="14" t="s">
        <v>197</v>
      </c>
      <c r="I29" s="25" t="str">
        <f aca="false">IF(AND(I$5&gt;=$E29-6,I$5&lt;=$G29),"■","")</f>
        <v/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</row>
    <row r="30" customFormat="false" ht="15" hidden="false" customHeight="false" outlineLevel="0" collapsed="false">
      <c r="A30" s="14" t="s">
        <v>201</v>
      </c>
      <c r="B30" s="4" t="s">
        <v>202</v>
      </c>
      <c r="C30" s="14" t="s">
        <v>46</v>
      </c>
      <c r="D30" s="4" t="s">
        <v>195</v>
      </c>
      <c r="E30" s="22" t="n">
        <v>46321</v>
      </c>
      <c r="F30" s="23" t="n">
        <v>8</v>
      </c>
      <c r="G30" s="24" t="n">
        <f aca="false">E30+F30*7-3</f>
        <v>46374</v>
      </c>
      <c r="H30" s="14" t="s">
        <v>152</v>
      </c>
      <c r="I30" s="25" t="str">
        <f aca="false">IF(AND(I$5&gt;=$E30-6,I$5&lt;=$G30),"■","")</f>
        <v/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>■</v>
      </c>
      <c r="M30" s="25" t="str">
        <f aca="false">IF(AND(M$5&gt;=$E30-6,M$5&lt;=$G30),"■","")</f>
        <v>■</v>
      </c>
      <c r="N30" s="25" t="str">
        <f aca="false">IF(AND(N$5&gt;=$E30-6,N$5&lt;=$G30),"■","")</f>
        <v>■</v>
      </c>
      <c r="O30" s="25" t="str">
        <f aca="false">IF(AND(O$5&gt;=$E30-6,O$5&lt;=$G30),"■","")</f>
        <v>■</v>
      </c>
      <c r="P30" s="25" t="str">
        <f aca="false">IF(AND(P$5&gt;=$E30-6,P$5&lt;=$G30),"■","")</f>
        <v>■</v>
      </c>
      <c r="Q30" s="25" t="str">
        <f aca="false">IF(AND(Q$5&gt;=$E30-6,Q$5&lt;=$G30),"■","")</f>
        <v>■</v>
      </c>
      <c r="R30" s="25" t="str">
        <f aca="false">IF(AND(R$5&gt;=$E30-6,R$5&lt;=$G30),"■","")</f>
        <v>■</v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</row>
    <row r="31" customFormat="false" ht="15" hidden="false" customHeight="false" outlineLevel="0" collapsed="false">
      <c r="A31" s="14" t="s">
        <v>203</v>
      </c>
      <c r="B31" s="4" t="s">
        <v>204</v>
      </c>
      <c r="C31" s="14" t="s">
        <v>46</v>
      </c>
      <c r="D31" s="4" t="s">
        <v>205</v>
      </c>
      <c r="E31" s="22" t="n">
        <v>46377</v>
      </c>
      <c r="F31" s="23" t="n">
        <v>1</v>
      </c>
      <c r="G31" s="24" t="n">
        <f aca="false">E31+F31*7-3</f>
        <v>46381</v>
      </c>
      <c r="H31" s="14" t="s">
        <v>199</v>
      </c>
      <c r="I31" s="25" t="str">
        <f aca="false">IF(AND(I$5&gt;=$E31-6,I$5&lt;=$G31),"■","")</f>
        <v/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/>
      </c>
      <c r="N31" s="25" t="str">
        <f aca="false">IF(AND(N$5&gt;=$E31-6,N$5&lt;=$G31),"■","")</f>
        <v/>
      </c>
      <c r="O31" s="25" t="str">
        <f aca="false">IF(AND(O$5&gt;=$E31-6,O$5&lt;=$G31),"■","")</f>
        <v/>
      </c>
      <c r="P31" s="25" t="str">
        <f aca="false">IF(AND(P$5&gt;=$E31-6,P$5&lt;=$G31),"■","")</f>
        <v/>
      </c>
      <c r="Q31" s="25" t="str">
        <f aca="false">IF(AND(Q$5&gt;=$E31-6,Q$5&lt;=$G31),"■","")</f>
        <v/>
      </c>
      <c r="R31" s="25" t="str">
        <f aca="false">IF(AND(R$5&gt;=$E31-6,R$5&lt;=$G31),"■","")</f>
        <v/>
      </c>
      <c r="S31" s="25" t="str">
        <f aca="false">IF(AND(S$5&gt;=$E31-6,S$5&lt;=$G31),"■","")</f>
        <v/>
      </c>
      <c r="T31" s="25" t="str">
        <f aca="false">IF(AND(T$5&gt;=$E31-6,T$5&lt;=$G31),"■","")</f>
        <v>■</v>
      </c>
    </row>
    <row r="32" customFormat="false" ht="15" hidden="false" customHeight="false" outlineLevel="0" collapsed="false">
      <c r="A32" s="21" t="s">
        <v>206</v>
      </c>
      <c r="B32" s="21" t="s">
        <v>207</v>
      </c>
      <c r="C32" s="21"/>
      <c r="D32" s="21" t="s">
        <v>207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customFormat="false" ht="15" hidden="false" customHeight="false" outlineLevel="0" collapsed="false">
      <c r="A33" s="14" t="s">
        <v>208</v>
      </c>
      <c r="B33" s="4" t="s">
        <v>209</v>
      </c>
      <c r="C33" s="14" t="s">
        <v>210</v>
      </c>
      <c r="D33" s="4" t="s">
        <v>211</v>
      </c>
      <c r="E33" s="22" t="n">
        <v>46311</v>
      </c>
      <c r="F33" s="23" t="n">
        <v>0</v>
      </c>
      <c r="G33" s="24" t="n">
        <f aca="false">E33</f>
        <v>46311</v>
      </c>
      <c r="H33" s="14" t="s">
        <v>170</v>
      </c>
      <c r="I33" s="25" t="str">
        <f aca="false">IF(AND($E33&gt;=I$5,$E33&lt;I$5+7),"◆","")</f>
        <v/>
      </c>
      <c r="J33" s="25" t="str">
        <f aca="false">IF(AND($E33&gt;=J$5,$E33&lt;J$5+7),"◆","")</f>
        <v>◆</v>
      </c>
      <c r="K33" s="25" t="str">
        <f aca="false">IF(AND($E33&gt;=K$5,$E33&lt;K$5+7),"◆","")</f>
        <v/>
      </c>
      <c r="L33" s="25" t="str">
        <f aca="false">IF(AND($E33&gt;=L$5,$E33&lt;L$5+7),"◆","")</f>
        <v/>
      </c>
      <c r="M33" s="25" t="str">
        <f aca="false">IF(AND($E33&gt;=M$5,$E33&lt;M$5+7),"◆","")</f>
        <v/>
      </c>
      <c r="N33" s="25" t="str">
        <f aca="false">IF(AND($E33&gt;=N$5,$E33&lt;N$5+7),"◆","")</f>
        <v/>
      </c>
      <c r="O33" s="25" t="str">
        <f aca="false">IF(AND($E33&gt;=O$5,$E33&lt;O$5+7),"◆","")</f>
        <v/>
      </c>
      <c r="P33" s="25" t="str">
        <f aca="false">IF(AND($E33&gt;=P$5,$E33&lt;P$5+7),"◆","")</f>
        <v/>
      </c>
      <c r="Q33" s="25" t="str">
        <f aca="false">IF(AND($E33&gt;=Q$5,$E33&lt;Q$5+7),"◆","")</f>
        <v/>
      </c>
      <c r="R33" s="25" t="str">
        <f aca="false">IF(AND($E33&gt;=R$5,$E33&lt;R$5+7),"◆","")</f>
        <v/>
      </c>
      <c r="S33" s="25" t="str">
        <f aca="false">IF(AND($E33&gt;=S$5,$E33&lt;S$5+7),"◆","")</f>
        <v/>
      </c>
      <c r="T33" s="25" t="str">
        <f aca="false">IF(AND($E33&gt;=T$5,$E33&lt;T$5+7),"◆","")</f>
        <v/>
      </c>
    </row>
    <row r="34" customFormat="false" ht="15" hidden="false" customHeight="false" outlineLevel="0" collapsed="false">
      <c r="A34" s="14" t="s">
        <v>212</v>
      </c>
      <c r="B34" s="4" t="s">
        <v>213</v>
      </c>
      <c r="C34" s="14" t="s">
        <v>210</v>
      </c>
      <c r="D34" s="4" t="s">
        <v>211</v>
      </c>
      <c r="E34" s="22" t="n">
        <v>46316</v>
      </c>
      <c r="F34" s="23" t="n">
        <v>0</v>
      </c>
      <c r="G34" s="24" t="n">
        <f aca="false">E34</f>
        <v>46316</v>
      </c>
      <c r="H34" s="14" t="s">
        <v>176</v>
      </c>
      <c r="I34" s="25" t="str">
        <f aca="false">IF(AND($E34&gt;=I$5,$E34&lt;I$5+7),"◆","")</f>
        <v/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</row>
    <row r="35" customFormat="false" ht="15" hidden="false" customHeight="false" outlineLevel="0" collapsed="false">
      <c r="A35" s="14" t="s">
        <v>214</v>
      </c>
      <c r="B35" s="4" t="s">
        <v>215</v>
      </c>
      <c r="C35" s="14" t="s">
        <v>210</v>
      </c>
      <c r="D35" s="4" t="s">
        <v>211</v>
      </c>
      <c r="E35" s="22" t="n">
        <v>46325</v>
      </c>
      <c r="F35" s="23" t="n">
        <v>0</v>
      </c>
      <c r="G35" s="24" t="n">
        <f aca="false">E35</f>
        <v>46325</v>
      </c>
      <c r="H35" s="14" t="s">
        <v>181</v>
      </c>
      <c r="I35" s="25" t="str">
        <f aca="false">IF(AND($E35&gt;=I$5,$E35&lt;I$5+7),"◆","")</f>
        <v/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</row>
    <row r="36" customFormat="false" ht="15" hidden="false" customHeight="false" outlineLevel="0" collapsed="false">
      <c r="A36" s="14" t="s">
        <v>216</v>
      </c>
      <c r="B36" s="4" t="s">
        <v>217</v>
      </c>
      <c r="C36" s="14" t="s">
        <v>210</v>
      </c>
      <c r="D36" s="4" t="s">
        <v>211</v>
      </c>
      <c r="E36" s="22" t="n">
        <v>46353</v>
      </c>
      <c r="F36" s="23" t="n">
        <v>0</v>
      </c>
      <c r="G36" s="24" t="n">
        <f aca="false">E36</f>
        <v>46353</v>
      </c>
      <c r="H36" s="14" t="s">
        <v>193</v>
      </c>
      <c r="I36" s="25" t="str">
        <f aca="false">IF(AND($E36&gt;=I$5,$E36&lt;I$5+7),"◆","")</f>
        <v/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/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>◆</v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</row>
    <row r="37" customFormat="false" ht="15" hidden="false" customHeight="false" outlineLevel="0" collapsed="false">
      <c r="A37" s="14" t="s">
        <v>218</v>
      </c>
      <c r="B37" s="4" t="s">
        <v>219</v>
      </c>
      <c r="C37" s="14" t="s">
        <v>210</v>
      </c>
      <c r="D37" s="4" t="s">
        <v>211</v>
      </c>
      <c r="E37" s="22" t="n">
        <v>46370</v>
      </c>
      <c r="F37" s="23" t="n">
        <v>0</v>
      </c>
      <c r="G37" s="24" t="n">
        <f aca="false">E37</f>
        <v>46370</v>
      </c>
      <c r="H37" s="14" t="s">
        <v>199</v>
      </c>
      <c r="I37" s="25" t="str">
        <f aca="false">IF(AND($E37&gt;=I$5,$E37&lt;I$5+7),"◆","")</f>
        <v/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/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>◆</v>
      </c>
      <c r="T37" s="25" t="str">
        <f aca="false">IF(AND($E37&gt;=T$5,$E37&lt;T$5+7),"◆","")</f>
        <v/>
      </c>
    </row>
    <row r="39" customFormat="false" ht="15" hidden="false" customHeight="false" outlineLevel="0" collapsed="false">
      <c r="B39" s="16" t="s">
        <v>220</v>
      </c>
    </row>
    <row r="40" customFormat="false" ht="15" hidden="false" customHeight="false" outlineLevel="0" collapsed="false">
      <c r="B40" s="26" t="s">
        <v>46</v>
      </c>
    </row>
    <row r="41" customFormat="false" ht="15" hidden="false" customHeight="false" outlineLevel="0" collapsed="false">
      <c r="B41" s="27" t="s">
        <v>58</v>
      </c>
    </row>
    <row r="42" customFormat="false" ht="15" hidden="false" customHeight="false" outlineLevel="0" collapsed="false">
      <c r="B42" s="28" t="s">
        <v>64</v>
      </c>
    </row>
    <row r="43" customFormat="false" ht="15" hidden="false" customHeight="false" outlineLevel="0" collapsed="false">
      <c r="B43" s="29" t="s">
        <v>70</v>
      </c>
    </row>
    <row r="44" customFormat="false" ht="15" hidden="false" customHeight="false" outlineLevel="0" collapsed="false">
      <c r="B44" s="30" t="s">
        <v>80</v>
      </c>
    </row>
    <row r="45" customFormat="false" ht="15" hidden="false" customHeight="false" outlineLevel="0" collapsed="false">
      <c r="B45" s="31" t="s">
        <v>210</v>
      </c>
    </row>
    <row r="47" customFormat="false" ht="30" hidden="false" customHeight="true" outlineLevel="0" collapsed="false">
      <c r="B47" s="32" t="s">
        <v>221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30" hidden="false" customHeight="true" outlineLevel="0" collapsed="false">
      <c r="B48" s="32" t="s">
        <v>222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</sheetData>
  <mergeCells count="2">
    <mergeCell ref="B47:T47"/>
    <mergeCell ref="B48:T48"/>
  </mergeCells>
  <conditionalFormatting sqref="I6:T37">
    <cfRule type="expression" priority="2" aboveAverage="0" equalAverage="0" bottom="0" percent="0" rank="0" text="" dxfId="3">
      <formula>AND(I6&lt;&gt;"",$C6="Abraham")</formula>
    </cfRule>
    <cfRule type="expression" priority="3" aboveAverage="0" equalAverage="0" bottom="0" percent="0" rank="0" text="" dxfId="4">
      <formula>AND(I6&lt;&gt;"",$C6="Sebastián")</formula>
    </cfRule>
    <cfRule type="expression" priority="4" aboveAverage="0" equalAverage="0" bottom="0" percent="0" rank="0" text="" dxfId="5">
      <formula>AND(I6&lt;&gt;"",$C6="Lisandra")</formula>
    </cfRule>
    <cfRule type="expression" priority="5" aboveAverage="0" equalAverage="0" bottom="0" percent="0" rank="0" text="" dxfId="6">
      <formula>AND(I6&lt;&gt;"",$C6="Felipe")</formula>
    </cfRule>
    <cfRule type="expression" priority="6" aboveAverage="0" equalAverage="0" bottom="0" percent="0" rank="0" text="" dxfId="7">
      <formula>AND(I6&lt;&gt;"",$C6="Bárbara")</formula>
    </cfRule>
    <cfRule type="expression" priority="7" aboveAverage="0" equalAverage="0" bottom="0" percent="0" rank="0" text="" dxfId="8">
      <formula>AND(I6&lt;&gt;"",$C6="Equipo")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2026-10-19T15:30:25Z</dcterms:created>
  <dc:creator>openpyxl</dc:creator>
  <dc:description/>
  <dc:language>en-US</dc:language>
  <cp:lastModifiedBy/>
  <dcterms:modified xsi:type="dcterms:W3CDTF">2026-10-19T15:30:25Z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