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N-Alumno\Downloads\"/>
    </mc:Choice>
  </mc:AlternateContent>
  <xr:revisionPtr revIDLastSave="0" documentId="13_ncr:1_{7A9BFDFA-1C38-4C14-9EFD-286222E6D6E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Gantt" sheetId="1" r:id="rId1"/>
    <sheet name="Roles" sheetId="2" r:id="rId2"/>
    <sheet name="RACI" sheetId="3" r:id="rId3"/>
    <sheet name="Responsabilidades" sheetId="4" r:id="rId4"/>
  </sheets>
  <definedNames>
    <definedName name="_xlnm._FilterDatabase" localSheetId="3" hidden="1">Responsabilidades!$A$1:$E$26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5" i="3" l="1"/>
  <c r="F25" i="3"/>
  <c r="E25" i="3"/>
  <c r="D25" i="3"/>
  <c r="C25" i="3"/>
  <c r="G24" i="3"/>
  <c r="F24" i="3"/>
  <c r="E24" i="3"/>
  <c r="D24" i="3"/>
  <c r="C24" i="3"/>
  <c r="I23" i="3"/>
  <c r="H23" i="3"/>
  <c r="J23" i="3" s="1"/>
  <c r="J22" i="3"/>
  <c r="I22" i="3"/>
  <c r="H22" i="3"/>
  <c r="I21" i="3"/>
  <c r="H21" i="3"/>
  <c r="J21" i="3" s="1"/>
  <c r="J20" i="3"/>
  <c r="I20" i="3"/>
  <c r="H20" i="3"/>
  <c r="I19" i="3"/>
  <c r="H19" i="3"/>
  <c r="J19" i="3" s="1"/>
  <c r="I18" i="3"/>
  <c r="H18" i="3"/>
  <c r="J18" i="3" s="1"/>
  <c r="I17" i="3"/>
  <c r="H17" i="3"/>
  <c r="J17" i="3" s="1"/>
  <c r="I16" i="3"/>
  <c r="H16" i="3"/>
  <c r="J16" i="3" s="1"/>
  <c r="I15" i="3"/>
  <c r="H15" i="3"/>
  <c r="J15" i="3" s="1"/>
  <c r="I14" i="3"/>
  <c r="H14" i="3"/>
  <c r="J14" i="3" s="1"/>
  <c r="I13" i="3"/>
  <c r="J13" i="3" s="1"/>
  <c r="H13" i="3"/>
  <c r="I12" i="3"/>
  <c r="H12" i="3"/>
  <c r="J12" i="3" s="1"/>
  <c r="I11" i="3"/>
  <c r="H11" i="3"/>
  <c r="J11" i="3" s="1"/>
  <c r="I10" i="3"/>
  <c r="H10" i="3"/>
  <c r="J10" i="3" s="1"/>
  <c r="I9" i="3"/>
  <c r="J9" i="3" s="1"/>
  <c r="H9" i="3"/>
  <c r="I8" i="3"/>
  <c r="H8" i="3"/>
  <c r="J8" i="3" s="1"/>
  <c r="I7" i="3"/>
  <c r="J7" i="3" s="1"/>
  <c r="H7" i="3"/>
  <c r="J6" i="3"/>
  <c r="I6" i="3"/>
  <c r="H6" i="3"/>
  <c r="I5" i="3"/>
  <c r="H5" i="3"/>
  <c r="J5" i="3" s="1"/>
  <c r="F9" i="2"/>
  <c r="F8" i="2"/>
  <c r="F7" i="2"/>
  <c r="F6" i="2"/>
  <c r="F5" i="2"/>
  <c r="F10" i="2" s="1"/>
  <c r="I45" i="1"/>
  <c r="H45" i="1"/>
  <c r="G45" i="1"/>
  <c r="H44" i="1"/>
  <c r="G44" i="1"/>
  <c r="I44" i="1" s="1"/>
  <c r="H43" i="1"/>
  <c r="G43" i="1"/>
  <c r="I43" i="1" s="1"/>
  <c r="H42" i="1"/>
  <c r="G42" i="1"/>
  <c r="I42" i="1" s="1"/>
  <c r="H41" i="1"/>
  <c r="G41" i="1"/>
  <c r="I41" i="1" s="1"/>
  <c r="G40" i="1"/>
  <c r="I40" i="1" s="1"/>
  <c r="E40" i="1"/>
  <c r="F40" i="1" s="1"/>
  <c r="I39" i="1"/>
  <c r="H39" i="1"/>
  <c r="G39" i="1"/>
  <c r="H38" i="1"/>
  <c r="G38" i="1"/>
  <c r="I38" i="1" s="1"/>
  <c r="H37" i="1"/>
  <c r="G37" i="1"/>
  <c r="I37" i="1" s="1"/>
  <c r="H36" i="1"/>
  <c r="G36" i="1"/>
  <c r="I36" i="1" s="1"/>
  <c r="H35" i="1"/>
  <c r="G35" i="1"/>
  <c r="I35" i="1" s="1"/>
  <c r="G34" i="1"/>
  <c r="I34" i="1" s="1"/>
  <c r="E34" i="1"/>
  <c r="F34" i="1" s="1"/>
  <c r="I33" i="1"/>
  <c r="H33" i="1"/>
  <c r="G33" i="1"/>
  <c r="H32" i="1"/>
  <c r="G32" i="1"/>
  <c r="I32" i="1" s="1"/>
  <c r="H31" i="1"/>
  <c r="G31" i="1"/>
  <c r="I31" i="1" s="1"/>
  <c r="H30" i="1"/>
  <c r="G30" i="1"/>
  <c r="I30" i="1" s="1"/>
  <c r="H29" i="1"/>
  <c r="G29" i="1"/>
  <c r="I29" i="1" s="1"/>
  <c r="H28" i="1"/>
  <c r="G28" i="1"/>
  <c r="I28" i="1" s="1"/>
  <c r="H27" i="1"/>
  <c r="G27" i="1"/>
  <c r="I27" i="1" s="1"/>
  <c r="H26" i="1"/>
  <c r="G26" i="1"/>
  <c r="I26" i="1" s="1"/>
  <c r="E25" i="1"/>
  <c r="H25" i="1" s="1"/>
  <c r="H24" i="1"/>
  <c r="G24" i="1"/>
  <c r="I24" i="1" s="1"/>
  <c r="H23" i="1"/>
  <c r="G23" i="1"/>
  <c r="I23" i="1" s="1"/>
  <c r="H22" i="1"/>
  <c r="G22" i="1"/>
  <c r="I22" i="1" s="1"/>
  <c r="H21" i="1"/>
  <c r="G21" i="1"/>
  <c r="I21" i="1" s="1"/>
  <c r="H20" i="1"/>
  <c r="G20" i="1"/>
  <c r="I20" i="1" s="1"/>
  <c r="H19" i="1"/>
  <c r="G19" i="1"/>
  <c r="I19" i="1" s="1"/>
  <c r="I18" i="1"/>
  <c r="H18" i="1"/>
  <c r="G18" i="1"/>
  <c r="H17" i="1"/>
  <c r="G17" i="1"/>
  <c r="I17" i="1" s="1"/>
  <c r="E16" i="1"/>
  <c r="H16" i="1" s="1"/>
  <c r="H15" i="1"/>
  <c r="G15" i="1"/>
  <c r="I15" i="1" s="1"/>
  <c r="H14" i="1"/>
  <c r="G14" i="1"/>
  <c r="I14" i="1" s="1"/>
  <c r="H13" i="1"/>
  <c r="G13" i="1"/>
  <c r="I13" i="1" s="1"/>
  <c r="I12" i="1"/>
  <c r="H12" i="1"/>
  <c r="G12" i="1"/>
  <c r="H11" i="1"/>
  <c r="G11" i="1"/>
  <c r="I11" i="1" s="1"/>
  <c r="H10" i="1"/>
  <c r="G10" i="1"/>
  <c r="I10" i="1" s="1"/>
  <c r="H9" i="1"/>
  <c r="G9" i="1"/>
  <c r="G7" i="1" s="1"/>
  <c r="I8" i="1"/>
  <c r="H8" i="1"/>
  <c r="G8" i="1"/>
  <c r="E7" i="1"/>
  <c r="H7" i="1" s="1"/>
  <c r="V5" i="1"/>
  <c r="U5" i="1"/>
  <c r="T5" i="1"/>
  <c r="S5" i="1"/>
  <c r="R5" i="1"/>
  <c r="Q5" i="1"/>
  <c r="P5" i="1"/>
  <c r="O5" i="1"/>
  <c r="N5" i="1"/>
  <c r="M5" i="1"/>
  <c r="L5" i="1"/>
  <c r="K5" i="1"/>
  <c r="I7" i="1" l="1"/>
  <c r="F7" i="1"/>
  <c r="I9" i="1"/>
  <c r="H34" i="1"/>
  <c r="G25" i="1"/>
  <c r="G16" i="1"/>
  <c r="H40" i="1"/>
  <c r="F16" i="1" l="1"/>
  <c r="I16" i="1"/>
  <c r="F25" i="1"/>
  <c r="I25" i="1"/>
</calcChain>
</file>

<file path=xl/sharedStrings.xml><?xml version="1.0" encoding="utf-8"?>
<sst xmlns="http://schemas.openxmlformats.org/spreadsheetml/2006/main" count="501" uniqueCount="191">
  <si>
    <t>Induplac IoT – Carta Gantt</t>
  </si>
  <si>
    <t>Fecha de inicio (lunes de la semana 1):</t>
  </si>
  <si>
    <t>ID</t>
  </si>
  <si>
    <t>Tarea</t>
  </si>
  <si>
    <t>Responsable</t>
  </si>
  <si>
    <t>Sprint</t>
  </si>
  <si>
    <t>Sem. inicio</t>
  </si>
  <si>
    <t>Duración (sem)</t>
  </si>
  <si>
    <t>Sem. fin</t>
  </si>
  <si>
    <t>Fecha inicio</t>
  </si>
  <si>
    <t>Fecha fin</t>
  </si>
  <si>
    <t>Depende de</t>
  </si>
  <si>
    <t>Sprint 1 – Captura de datos</t>
  </si>
  <si>
    <t>Sprint 1</t>
  </si>
  <si>
    <t>1.1</t>
  </si>
  <si>
    <t>Definir payload JSON (contrato de telemetría)</t>
  </si>
  <si>
    <t>Sebastián Fuentes</t>
  </si>
  <si>
    <t>—</t>
  </si>
  <si>
    <t>1.2</t>
  </si>
  <si>
    <t>Diseño definitivo de dashboards (mockups)</t>
  </si>
  <si>
    <t>Bárbara Saavedra</t>
  </si>
  <si>
    <t>1.3</t>
  </si>
  <si>
    <t>Diseño de arquitectura AWS y política IAM</t>
  </si>
  <si>
    <t>Felipe Murúa</t>
  </si>
  <si>
    <t>1.4</t>
  </si>
  <si>
    <t>Modelo de datos (docs/modelo-datos.md)</t>
  </si>
  <si>
    <t>Abraham Castro</t>
  </si>
  <si>
    <t>1.5</t>
  </si>
  <si>
    <t>Simulación Wokwi: ESP32 y sensores (kW, agua, UV)</t>
  </si>
  <si>
    <t>1.6</t>
  </si>
  <si>
    <t>Publicación MQTT por topic de cada local</t>
  </si>
  <si>
    <t>1.7</t>
  </si>
  <si>
    <t>Cliente MQTT del gateway (suscripción)</t>
  </si>
  <si>
    <t>Lisandra González</t>
  </si>
  <si>
    <t>1.8</t>
  </si>
  <si>
    <t>Base SQLite local con campo is_synced</t>
  </si>
  <si>
    <t>1.4, 1.7</t>
  </si>
  <si>
    <t>Sprint 2 – Visualización</t>
  </si>
  <si>
    <t>Sprint 2</t>
  </si>
  <si>
    <t>2.1</t>
  </si>
  <si>
    <t>Datos ficticios e históricos para el dashboard</t>
  </si>
  <si>
    <t>2.2</t>
  </si>
  <si>
    <t>Tabla histórica en DynamoDB</t>
  </si>
  <si>
    <t>2.3</t>
  </si>
  <si>
    <t>API Gateway + Lambda de ingesta</t>
  </si>
  <si>
    <t>2.4</t>
  </si>
  <si>
    <t>Reglas de alerta (+20 % kW, UV ≥ 8, agua)</t>
  </si>
  <si>
    <t>2.5</t>
  </si>
  <si>
    <t>Dashboard Local 1 (tarjetas, gráfico, alertas)</t>
  </si>
  <si>
    <t>2.6</t>
  </si>
  <si>
    <t>Dashboard Local 2 (misma estructura)</t>
  </si>
  <si>
    <t>2.7</t>
  </si>
  <si>
    <t>Dashboard General / Auditoría</t>
  </si>
  <si>
    <t>2.8</t>
  </si>
  <si>
    <t>Tabla comparativa y selector día/semana/mes</t>
  </si>
  <si>
    <t>2.7, 2.1</t>
  </si>
  <si>
    <t>Sprint 3 – Integración híbrida</t>
  </si>
  <si>
    <t>Sprint 3</t>
  </si>
  <si>
    <t>3.1</t>
  </si>
  <si>
    <t>Envío online Edge → AWS</t>
  </si>
  <si>
    <t>1.8, 2.3</t>
  </si>
  <si>
    <t>3.2</t>
  </si>
  <si>
    <t>Modo offline y healthcheck de conexión</t>
  </si>
  <si>
    <t>3.3</t>
  </si>
  <si>
    <t>Sincronización por lotes (UUIDv4) y estados del sistema</t>
  </si>
  <si>
    <t>3.4</t>
  </si>
  <si>
    <t>TLS/MQTTS e IAM de mínimo privilegio (.env)</t>
  </si>
  <si>
    <t>3.5</t>
  </si>
  <si>
    <t>RBAC y verificación Ley 19.628 (HH anónimas)</t>
  </si>
  <si>
    <t>3.6</t>
  </si>
  <si>
    <t>Antigüedad del dato y aviso de modo offline</t>
  </si>
  <si>
    <t>3.2, 2.8</t>
  </si>
  <si>
    <t>3.7</t>
  </si>
  <si>
    <t>Escenarios de prueba de alertas (kW +20 %, UV ≥ 8)</t>
  </si>
  <si>
    <t>3.8</t>
  </si>
  <si>
    <t>Simulación de corte de Internet</t>
  </si>
  <si>
    <t>Gestión, pruebas y entrega</t>
  </si>
  <si>
    <t>Transversal</t>
  </si>
  <si>
    <t>4.1</t>
  </si>
  <si>
    <t>Kickoff, plan de trabajo y organización del repo</t>
  </si>
  <si>
    <t>4.2</t>
  </si>
  <si>
    <t>Documentación continua y revisión de Pull Requests</t>
  </si>
  <si>
    <t>4.3</t>
  </si>
  <si>
    <t>Redactar casos de prueba (5 pruebas de demostración)</t>
  </si>
  <si>
    <t>4.4</t>
  </si>
  <si>
    <t>Ejecución de pruebas integrales 1–5</t>
  </si>
  <si>
    <t>3.3, 3.8, 3.6</t>
  </si>
  <si>
    <t>4.5</t>
  </si>
  <si>
    <t>Ensayo y presentación final</t>
  </si>
  <si>
    <t>Hitos</t>
  </si>
  <si>
    <t>5.1</t>
  </si>
  <si>
    <t>◆ Payload JSON definido</t>
  </si>
  <si>
    <t>Equipo</t>
  </si>
  <si>
    <t>5.2</t>
  </si>
  <si>
    <t>◆ Datos fluyen ESP32 → MQTT → Edge (SQLite)</t>
  </si>
  <si>
    <t>5.3</t>
  </si>
  <si>
    <t>◆ Dashboards y alertas listos</t>
  </si>
  <si>
    <t>2.8, 2.4</t>
  </si>
  <si>
    <t>5.4</t>
  </si>
  <si>
    <t>◆ Modo offline y sincronización funcionando</t>
  </si>
  <si>
    <t>5.5</t>
  </si>
  <si>
    <t>◆ Demostración final</t>
  </si>
  <si>
    <t>Leyenda (color de la barra = responsable)</t>
  </si>
  <si>
    <t>Induplac IoT – Asignación de roles del equipo</t>
  </si>
  <si>
    <t>Integrante</t>
  </si>
  <si>
    <t>Rol</t>
  </si>
  <si>
    <t>Responsabilidades principales</t>
  </si>
  <si>
    <t>Carpeta del repositorio</t>
  </si>
  <si>
    <t>Sprint de mayor carga</t>
  </si>
  <si>
    <t>N.º de tareas detalladas</t>
  </si>
  <si>
    <t>Jefe de proyecto, documentación y pruebas</t>
  </si>
  <si>
    <t>Coordina el equipo y el repositorio, mantiene el README y la carpeta docs/, gestiona ramas y Pull Requests, escribe los casos de prueba y prepara la demo final.</t>
  </si>
  <si>
    <t>docs/, README.md, CONTRIBUTING.md</t>
  </si>
  <si>
    <t>Todos (transversal)</t>
  </si>
  <si>
    <t>Ingeniero IoT y simulación</t>
  </si>
  <si>
    <t>Simulación en Wokwi, firmware del ESP32, sensores simulados (CT, caudalímetro, UV), formato del payload JSON, publicación MQTT y generación de datos ficticios.</t>
  </si>
  <si>
    <t>sensors/, simulation/</t>
  </si>
  <si>
    <t>Edge y sincronización</t>
  </si>
  <si>
    <t>Gateway (Raspberry Pi o servicio local), suscripción MQTT, SQLite, modo offline, healthcheck, estados ONLINE/OFFLINE/SYNCING/ERROR, lotes con UUIDv4 e idempotencia.</t>
  </si>
  <si>
    <t>edge/</t>
  </si>
  <si>
    <t>Sprint 1 y 3</t>
  </si>
  <si>
    <t>Cloud, backend y ciberseguridad</t>
  </si>
  <si>
    <t>AWS (API Gateway, Lambda, DynamoDB), reglas de alerta, IAM de mínimo privilegio, TLS, credenciales con .env, roles (RBAC) y cumplimiento de la Ley 19.628.</t>
  </si>
  <si>
    <t>backend/, infrastructure/</t>
  </si>
  <si>
    <t>Sprint 2 y 3</t>
  </si>
  <si>
    <t>Frontend y dashboards</t>
  </si>
  <si>
    <t>Dashboards React + TypeScript (Local 1, Local 2 y General), tarjetas de indicadores, gráficos, tabla comparativa día/semana/mes, antigüedad del dato y vista de alertas.</t>
  </si>
  <si>
    <t>dashboard/</t>
  </si>
  <si>
    <t>Total tareas</t>
  </si>
  <si>
    <t>Induplac IoT – Matriz RACI</t>
  </si>
  <si>
    <t>R = Responsable (hace el trabajo) · A = Aprobador (responde por el resultado; uno solo por tarea) · C = Consultado · I = Informado · A/R = hace el trabajo y responde por él.</t>
  </si>
  <si>
    <t>N.º</t>
  </si>
  <si>
    <t>Abraham Castro
Jefe de proyecto, docs y pruebas</t>
  </si>
  <si>
    <t>Sebastián Fuentes
IoT y simulación</t>
  </si>
  <si>
    <t>Lisandra González
Edge y sincronización</t>
  </si>
  <si>
    <t>Felipe Murúa
Cloud y ciberseguridad</t>
  </si>
  <si>
    <t>Bárbara Saavedra
Frontend</t>
  </si>
  <si>
    <t>N.º de A</t>
  </si>
  <si>
    <t>N.º de R</t>
  </si>
  <si>
    <t>Control</t>
  </si>
  <si>
    <t>Dashboard React (Local 1, Local 2, General, tabla comparativa, panel de demo)</t>
  </si>
  <si>
    <t>A/R</t>
  </si>
  <si>
    <t>I</t>
  </si>
  <si>
    <t>C</t>
  </si>
  <si>
    <t>R</t>
  </si>
  <si>
    <t>Contrato de telemetría (payload JSON, device_id + seq)</t>
  </si>
  <si>
    <t>ESP32 en Wokwi (sensores, NTP, buffer de lecturas)</t>
  </si>
  <si>
    <t>Broker MQTT (EMQX/HiveMQ), TLS y credenciales por dispositivo</t>
  </si>
  <si>
    <t>Programa de la Raspberry Pi: recibir, validar y guardar en SQLite</t>
  </si>
  <si>
    <t>Resúmenes de 15 min y alertas locales en el Edge</t>
  </si>
  <si>
    <t>Modo offline, healthcheck y sincronización (lotes de 50, idempotencia)</t>
  </si>
  <si>
    <t>Bases en la nube (DynamoDB y RDS PostgreSQL)</t>
  </si>
  <si>
    <t>Reglas de alerta en Lambda (+20 % kW, UV ≥ 8, agua)</t>
  </si>
  <si>
    <t>Cognito con MFA y roles (RBAC)</t>
  </si>
  <si>
    <t>Seguridad de red y accesos (VLAN, VPN documentada, IAM, .env)</t>
  </si>
  <si>
    <t>Cumplimiento Ley 19.628 (privacidad de HH)</t>
  </si>
  <si>
    <t>A</t>
  </si>
  <si>
    <t>Simulación de fallas (corte de red, valores absurdos, alertas)</t>
  </si>
  <si>
    <t>Casos de prueba y ejecución de pruebas integrales</t>
  </si>
  <si>
    <t>Documentación (README, docs/, notas de avance, EN-CURSO)</t>
  </si>
  <si>
    <t>Revisión y merge de Pull Requests</t>
  </si>
  <si>
    <t>Integración de punta a punta (ESP32 → Pi → AWS → Dashboard)</t>
  </si>
  <si>
    <t>Demostración y presentación final</t>
  </si>
  <si>
    <t>Total de tareas como R (hace el trabajo)</t>
  </si>
  <si>
    <t>Total de tareas como A (aprueba)</t>
  </si>
  <si>
    <t>Leyenda</t>
  </si>
  <si>
    <t>Hace el trabajo y responde por el resultado</t>
  </si>
  <si>
    <t>Aprueba / responde por el resultado</t>
  </si>
  <si>
    <t>Responsable de ejecutar</t>
  </si>
  <si>
    <t>Consultado antes de decidir</t>
  </si>
  <si>
    <t>Informado del avance</t>
  </si>
  <si>
    <t>Estado</t>
  </si>
  <si>
    <t>Coordinación del equipo y seguimiento del avance</t>
  </si>
  <si>
    <t>Todos</t>
  </si>
  <si>
    <t>Pendiente</t>
  </si>
  <si>
    <t>Gestión de ramas y Pull Requests</t>
  </si>
  <si>
    <t>Mantener README y carpeta docs/</t>
  </si>
  <si>
    <t>Integración final y preparación de la demo</t>
  </si>
  <si>
    <t>Montar simulación Wokwi (ESP32 Local 1 y Local 2)</t>
  </si>
  <si>
    <t>Definir formato del payload JSON (contrato de telemetría)</t>
  </si>
  <si>
    <t>Simular sensores: CT (kW), caudalímetro (agua), UV</t>
  </si>
  <si>
    <t>Generar datos ficticios e históricos para el dashboard</t>
  </si>
  <si>
    <t>Sprint 1 y 2</t>
  </si>
  <si>
    <t>Cliente MQTT del gateway (suscripción a topics)</t>
  </si>
  <si>
    <t>Servicio de sincronización por lotes con UUIDv4</t>
  </si>
  <si>
    <t>Gestión de estados ONLINE / OFFLINE / SYNCING / ERROR</t>
  </si>
  <si>
    <t>Reglas de alerta (+20 % electricidad, UV ≥ 8, agua)</t>
  </si>
  <si>
    <t>IAM de mínimo privilegio y manejo de .env</t>
  </si>
  <si>
    <t>TLS/MQTTS, RBAC y cumplimiento Ley 19.628</t>
  </si>
  <si>
    <t>Dashboard Local 1 (tarjetas, gráfico, alertas, estado)</t>
  </si>
  <si>
    <t>Indicador de antigüedad del dato y aviso modo offline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</si>
</sst>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"/>
    <numFmt numFmtId="165" formatCode="dd\-mmm"/>
    <numFmt numFmtId="166" formatCode="\S0"/>
  </numFmts>
  <fonts count="2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b/>
      <sz val="11"/>
      <color rgb="FF0000FF"/>
      <name val="Arial"/>
      <charset val="1"/>
    </font>
    <font>
      <i/>
      <sz val="9"/>
      <color rgb="FF595959"/>
      <name val="Arial"/>
      <charset val="1"/>
    </font>
    <font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548235"/>
      <name val="Arial"/>
      <charset val="1"/>
    </font>
    <font>
      <sz val="10"/>
      <color rgb="FF0000FF"/>
      <name val="Arial"/>
      <charset val="1"/>
    </font>
    <font>
      <b/>
      <sz val="10"/>
      <color rgb="FF7030A0"/>
      <name val="Arial"/>
      <charset val="1"/>
    </font>
    <font>
      <b/>
      <sz val="10"/>
      <color rgb="FFC55A11"/>
      <name val="Arial"/>
      <charset val="1"/>
    </font>
    <font>
      <b/>
      <sz val="10"/>
      <color rgb="FF2F75B5"/>
      <name val="Arial"/>
      <charset val="1"/>
    </font>
    <font>
      <b/>
      <sz val="10"/>
      <color rgb="FFBF9000"/>
      <name val="Arial"/>
      <charset val="1"/>
    </font>
    <font>
      <b/>
      <sz val="10"/>
      <color rgb="FFC00000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color rgb="FF000000"/>
      <name val="Arial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EADCF4"/>
      </patternFill>
    </fill>
    <fill>
      <patternFill patternType="solid">
        <fgColor rgb="FF2F75B5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BF9000"/>
        <bgColor rgb="FFC55A11"/>
      </patternFill>
    </fill>
    <fill>
      <patternFill patternType="solid">
        <fgColor rgb="FFC55A11"/>
        <bgColor rgb="FF993300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ADCF4"/>
        <bgColor rgb="FFE7E6E6"/>
      </patternFill>
    </fill>
    <fill>
      <patternFill patternType="solid">
        <fgColor rgb="FF70AD47"/>
        <bgColor rgb="FF548235"/>
      </patternFill>
    </fill>
    <fill>
      <patternFill patternType="solid">
        <fgColor rgb="FFFFE699"/>
        <bgColor rgb="FFFFF2CC"/>
      </patternFill>
    </fill>
    <fill>
      <patternFill patternType="solid">
        <fgColor rgb="FFE7E6E6"/>
        <bgColor rgb="FFE2EFDA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4" fillId="0" borderId="0" xfId="0" applyFont="1" applyBorder="1" applyAlignment="1">
      <alignment vertical="top" wrapText="1"/>
    </xf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164" fontId="3" fillId="2" borderId="0" xfId="0" applyNumberFormat="1" applyFont="1" applyFill="1" applyAlignment="1"/>
    <xf numFmtId="0" fontId="4" fillId="0" borderId="0" xfId="0" applyFont="1" applyAlignment="1"/>
    <xf numFmtId="0" fontId="0" fillId="3" borderId="0" xfId="0" applyFill="1" applyAlignment="1"/>
    <xf numFmtId="165" fontId="5" fillId="3" borderId="0" xfId="0" applyNumberFormat="1" applyFont="1" applyFill="1" applyAlignment="1">
      <alignment horizontal="center" textRotation="90"/>
    </xf>
    <xf numFmtId="0" fontId="6" fillId="3" borderId="1" xfId="0" applyFont="1" applyFill="1" applyBorder="1" applyAlignment="1">
      <alignment horizontal="center" vertical="center" wrapText="1"/>
    </xf>
    <xf numFmtId="166" fontId="7" fillId="3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/>
    <xf numFmtId="164" fontId="2" fillId="4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/>
    <xf numFmtId="0" fontId="9" fillId="0" borderId="1" xfId="0" applyFont="1" applyBorder="1" applyAlignment="1"/>
    <xf numFmtId="0" fontId="10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11" fillId="0" borderId="1" xfId="0" applyFont="1" applyBorder="1" applyAlignment="1"/>
    <xf numFmtId="0" fontId="12" fillId="0" borderId="1" xfId="0" applyFont="1" applyBorder="1" applyAlignment="1"/>
    <xf numFmtId="0" fontId="13" fillId="0" borderId="1" xfId="0" applyFont="1" applyBorder="1" applyAlignment="1"/>
    <xf numFmtId="0" fontId="14" fillId="0" borderId="1" xfId="0" applyFont="1" applyBorder="1" applyAlignment="1"/>
    <xf numFmtId="0" fontId="15" fillId="0" borderId="1" xfId="0" applyFont="1" applyBorder="1" applyAlignment="1"/>
    <xf numFmtId="0" fontId="6" fillId="5" borderId="0" xfId="0" applyFont="1" applyFill="1" applyAlignment="1"/>
    <xf numFmtId="0" fontId="6" fillId="6" borderId="0" xfId="0" applyFont="1" applyFill="1" applyAlignment="1"/>
    <xf numFmtId="0" fontId="6" fillId="7" borderId="0" xfId="0" applyFont="1" applyFill="1" applyAlignment="1"/>
    <xf numFmtId="0" fontId="6" fillId="8" borderId="0" xfId="0" applyFont="1" applyFill="1" applyAlignment="1"/>
    <xf numFmtId="0" fontId="6" fillId="9" borderId="0" xfId="0" applyFont="1" applyFill="1" applyAlignment="1"/>
    <xf numFmtId="0" fontId="6" fillId="10" borderId="0" xfId="0" applyFont="1" applyFill="1" applyAlignment="1"/>
    <xf numFmtId="0" fontId="16" fillId="0" borderId="0" xfId="0" applyFont="1" applyAlignment="1"/>
    <xf numFmtId="0" fontId="17" fillId="3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8" fillId="0" borderId="2" xfId="0" applyFont="1" applyBorder="1" applyAlignment="1">
      <alignment horizontal="center" vertical="top"/>
    </xf>
    <xf numFmtId="0" fontId="2" fillId="12" borderId="2" xfId="0" applyFont="1" applyFill="1" applyBorder="1" applyAlignment="1">
      <alignment vertical="top" wrapText="1"/>
    </xf>
    <xf numFmtId="0" fontId="2" fillId="13" borderId="2" xfId="0" applyFont="1" applyFill="1" applyBorder="1" applyAlignment="1">
      <alignment vertical="top" wrapText="1"/>
    </xf>
    <xf numFmtId="0" fontId="2" fillId="14" borderId="2" xfId="0" applyFont="1" applyFill="1" applyBorder="1" applyAlignment="1">
      <alignment vertical="top" wrapText="1"/>
    </xf>
    <xf numFmtId="0" fontId="2" fillId="15" borderId="2" xfId="0" applyFont="1" applyFill="1" applyBorder="1" applyAlignment="1">
      <alignment vertical="top" wrapText="1"/>
    </xf>
    <xf numFmtId="0" fontId="2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6" fillId="3" borderId="2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4" borderId="2" xfId="0" applyFont="1" applyFill="1" applyBorder="1"/>
    <xf numFmtId="0" fontId="2" fillId="4" borderId="2" xfId="0" applyFont="1" applyFill="1" applyBorder="1" applyAlignment="1">
      <alignment horizontal="center"/>
    </xf>
    <xf numFmtId="0" fontId="2" fillId="0" borderId="0" xfId="0" applyFont="1"/>
    <xf numFmtId="0" fontId="17" fillId="9" borderId="0" xfId="0" applyFont="1" applyFill="1" applyAlignment="1">
      <alignment horizontal="center"/>
    </xf>
    <xf numFmtId="0" fontId="18" fillId="0" borderId="0" xfId="0" applyFont="1"/>
    <xf numFmtId="0" fontId="17" fillId="8" borderId="0" xfId="0" applyFont="1" applyFill="1" applyAlignment="1">
      <alignment horizontal="center"/>
    </xf>
    <xf numFmtId="0" fontId="17" fillId="16" borderId="0" xfId="0" applyFont="1" applyFill="1" applyAlignment="1">
      <alignment horizontal="center"/>
    </xf>
    <xf numFmtId="0" fontId="19" fillId="17" borderId="0" xfId="0" applyFont="1" applyFill="1" applyAlignment="1">
      <alignment horizontal="center"/>
    </xf>
    <xf numFmtId="0" fontId="19" fillId="18" borderId="0" xfId="0" applyFont="1" applyFill="1" applyAlignment="1">
      <alignment horizontal="center"/>
    </xf>
  </cellXfs>
  <cellStyles count="1">
    <cellStyle name="Normal" xfId="0" builtinId="0"/>
  </cellStyles>
  <dxfs count="14">
    <dxf>
      <fill>
        <patternFill>
          <bgColor rgb="FFFF9999"/>
        </patternFill>
      </fill>
    </dxf>
    <dxf>
      <font>
        <b/>
        <color rgb="FF000000"/>
      </font>
      <fill>
        <patternFill>
          <bgColor rgb="FFE7E6E6"/>
        </patternFill>
      </fill>
    </dxf>
    <dxf>
      <font>
        <b/>
        <color rgb="FF000000"/>
      </font>
      <fill>
        <patternFill>
          <bgColor rgb="FFFFE699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55A11"/>
        </patternFill>
      </fill>
    </dxf>
    <dxf>
      <font>
        <b/>
        <color rgb="FFFFFFFF"/>
      </font>
      <fill>
        <patternFill>
          <bgColor rgb="FF7030A0"/>
        </patternFill>
      </fill>
    </dxf>
    <dxf>
      <fill>
        <patternFill>
          <bgColor rgb="FFC00000"/>
        </patternFill>
      </fill>
    </dxf>
    <dxf>
      <fill>
        <patternFill>
          <bgColor rgb="FF7030A0"/>
        </patternFill>
      </fill>
    </dxf>
    <dxf>
      <fill>
        <patternFill>
          <bgColor rgb="FFC55A11"/>
        </patternFill>
      </fill>
    </dxf>
    <dxf>
      <fill>
        <patternFill>
          <bgColor rgb="FFBF9000"/>
        </patternFill>
      </fill>
    </dxf>
    <dxf>
      <fill>
        <patternFill>
          <bgColor rgb="FF548235"/>
        </patternFill>
      </fill>
    </dxf>
    <dxf>
      <fill>
        <patternFill>
          <bgColor rgb="FF2F75B5"/>
        </patternFill>
      </fill>
    </dxf>
    <dxf>
      <fill>
        <patternFill>
          <bgColor rgb="FF595959"/>
        </patternFill>
      </fill>
    </dxf>
    <dxf>
      <font>
        <b/>
        <color rgb="FF000000"/>
      </font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EFDA"/>
      <rgbColor rgb="FFFFE699"/>
      <rgbColor rgb="FFEADCF4"/>
      <rgbColor rgb="FFFF9999"/>
      <rgbColor rgb="FFCC99FF"/>
      <rgbColor rgb="FFFCE4D6"/>
      <rgbColor rgb="FF2F75B5"/>
      <rgbColor rgb="FF33CCCC"/>
      <rgbColor rgb="FF99CC00"/>
      <rgbColor rgb="FFFFC000"/>
      <rgbColor rgb="FFBF9000"/>
      <rgbColor rgb="FFC55A1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54"/>
  <sheetViews>
    <sheetView showGridLines="0" tabSelected="1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B44" sqref="B44"/>
    </sheetView>
  </sheetViews>
  <sheetFormatPr baseColWidth="10" defaultColWidth="8.7109375" defaultRowHeight="15" x14ac:dyDescent="0.25"/>
  <cols>
    <col min="1" max="1" width="6" style="2" customWidth="1"/>
    <col min="2" max="2" width="52" style="2" customWidth="1"/>
    <col min="3" max="3" width="20" style="2" customWidth="1"/>
    <col min="4" max="4" width="13" style="2" customWidth="1"/>
    <col min="5" max="5" width="10" style="2" customWidth="1"/>
    <col min="6" max="6" width="11" style="2" customWidth="1"/>
    <col min="7" max="7" width="9" style="2" customWidth="1"/>
    <col min="8" max="9" width="12" style="2" customWidth="1"/>
    <col min="10" max="10" width="14" style="2" customWidth="1"/>
    <col min="11" max="22" width="5.5703125" style="2" customWidth="1"/>
  </cols>
  <sheetData>
    <row r="1" spans="1:22" ht="17.25" customHeight="1" x14ac:dyDescent="0.25">
      <c r="A1" s="3" t="s">
        <v>0</v>
      </c>
    </row>
    <row r="2" spans="1:22" ht="15" customHeight="1" x14ac:dyDescent="0.25">
      <c r="B2" s="4" t="s">
        <v>1</v>
      </c>
      <c r="C2" s="5">
        <v>46314</v>
      </c>
    </row>
    <row r="3" spans="1:22" ht="15" customHeight="1" x14ac:dyDescent="0.25">
      <c r="B3" s="6"/>
    </row>
    <row r="5" spans="1:22" ht="37.5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8">
        <f t="shared" ref="K5:V5" si="0">$C$2+7*(K$6-1)</f>
        <v>46314</v>
      </c>
      <c r="L5" s="8">
        <f t="shared" si="0"/>
        <v>46321</v>
      </c>
      <c r="M5" s="8">
        <f t="shared" si="0"/>
        <v>46328</v>
      </c>
      <c r="N5" s="8">
        <f t="shared" si="0"/>
        <v>46335</v>
      </c>
      <c r="O5" s="8">
        <f t="shared" si="0"/>
        <v>46342</v>
      </c>
      <c r="P5" s="8">
        <f t="shared" si="0"/>
        <v>46349</v>
      </c>
      <c r="Q5" s="8">
        <f t="shared" si="0"/>
        <v>46356</v>
      </c>
      <c r="R5" s="8">
        <f t="shared" si="0"/>
        <v>46363</v>
      </c>
      <c r="S5" s="8">
        <f t="shared" si="0"/>
        <v>46370</v>
      </c>
      <c r="T5" s="8">
        <f t="shared" si="0"/>
        <v>46377</v>
      </c>
      <c r="U5" s="8">
        <f t="shared" si="0"/>
        <v>46384</v>
      </c>
      <c r="V5" s="8">
        <f t="shared" si="0"/>
        <v>46391</v>
      </c>
    </row>
    <row r="6" spans="1:22" ht="30" customHeight="1" x14ac:dyDescent="0.25">
      <c r="A6" s="9" t="s">
        <v>2</v>
      </c>
      <c r="B6" s="9" t="s">
        <v>3</v>
      </c>
      <c r="C6" s="9" t="s">
        <v>4</v>
      </c>
      <c r="D6" s="9" t="s">
        <v>5</v>
      </c>
      <c r="E6" s="9" t="s">
        <v>6</v>
      </c>
      <c r="F6" s="9" t="s">
        <v>7</v>
      </c>
      <c r="G6" s="9" t="s">
        <v>8</v>
      </c>
      <c r="H6" s="9" t="s">
        <v>9</v>
      </c>
      <c r="I6" s="9" t="s">
        <v>10</v>
      </c>
      <c r="J6" s="9" t="s">
        <v>11</v>
      </c>
      <c r="K6" s="10">
        <v>1</v>
      </c>
      <c r="L6" s="10">
        <v>2</v>
      </c>
      <c r="M6" s="10">
        <v>3</v>
      </c>
      <c r="N6" s="10">
        <v>4</v>
      </c>
      <c r="O6" s="10">
        <v>5</v>
      </c>
      <c r="P6" s="10">
        <v>6</v>
      </c>
      <c r="Q6" s="10">
        <v>7</v>
      </c>
      <c r="R6" s="10">
        <v>8</v>
      </c>
      <c r="S6" s="10">
        <v>9</v>
      </c>
      <c r="T6" s="10">
        <v>10</v>
      </c>
      <c r="U6" s="10">
        <v>11</v>
      </c>
      <c r="V6" s="10">
        <v>12</v>
      </c>
    </row>
    <row r="7" spans="1:22" ht="15" customHeight="1" x14ac:dyDescent="0.25">
      <c r="A7" s="11">
        <v>1</v>
      </c>
      <c r="B7" s="12" t="s">
        <v>12</v>
      </c>
      <c r="C7" s="12"/>
      <c r="D7" s="11" t="s">
        <v>13</v>
      </c>
      <c r="E7" s="11">
        <f>MIN(E8:E15)</f>
        <v>1</v>
      </c>
      <c r="F7" s="11">
        <f>G7-E7+1</f>
        <v>3</v>
      </c>
      <c r="G7" s="11">
        <f>MAX(G8:G15)</f>
        <v>3</v>
      </c>
      <c r="H7" s="13">
        <f t="shared" ref="H7:H45" si="1">$C$2+7*(E7-1)</f>
        <v>46314</v>
      </c>
      <c r="I7" s="13">
        <f t="shared" ref="I7:I45" si="2">$C$2+7*(G7-1)+4</f>
        <v>46332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spans="1:22" ht="15" customHeight="1" x14ac:dyDescent="0.25">
      <c r="A8" s="14" t="s">
        <v>14</v>
      </c>
      <c r="B8" s="15" t="s">
        <v>15</v>
      </c>
      <c r="C8" s="16" t="s">
        <v>16</v>
      </c>
      <c r="D8" s="14" t="s">
        <v>13</v>
      </c>
      <c r="E8" s="17">
        <v>1</v>
      </c>
      <c r="F8" s="17">
        <v>1</v>
      </c>
      <c r="G8" s="14">
        <f t="shared" ref="G8:G15" si="3">E8+F8-1</f>
        <v>1</v>
      </c>
      <c r="H8" s="18">
        <f t="shared" si="1"/>
        <v>46314</v>
      </c>
      <c r="I8" s="18">
        <f t="shared" si="2"/>
        <v>46318</v>
      </c>
      <c r="J8" s="14" t="s">
        <v>17</v>
      </c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</row>
    <row r="9" spans="1:22" ht="15" customHeight="1" x14ac:dyDescent="0.25">
      <c r="A9" s="14" t="s">
        <v>18</v>
      </c>
      <c r="B9" s="15" t="s">
        <v>19</v>
      </c>
      <c r="C9" s="19" t="s">
        <v>20</v>
      </c>
      <c r="D9" s="14" t="s">
        <v>13</v>
      </c>
      <c r="E9" s="17">
        <v>1</v>
      </c>
      <c r="F9" s="17">
        <v>2</v>
      </c>
      <c r="G9" s="14">
        <f t="shared" si="3"/>
        <v>2</v>
      </c>
      <c r="H9" s="18">
        <f t="shared" si="1"/>
        <v>46314</v>
      </c>
      <c r="I9" s="18">
        <f t="shared" si="2"/>
        <v>46325</v>
      </c>
      <c r="J9" s="14" t="s">
        <v>17</v>
      </c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</row>
    <row r="10" spans="1:22" ht="15" customHeight="1" x14ac:dyDescent="0.25">
      <c r="A10" s="14" t="s">
        <v>21</v>
      </c>
      <c r="B10" s="15" t="s">
        <v>22</v>
      </c>
      <c r="C10" s="20" t="s">
        <v>23</v>
      </c>
      <c r="D10" s="14" t="s">
        <v>13</v>
      </c>
      <c r="E10" s="17">
        <v>1</v>
      </c>
      <c r="F10" s="17">
        <v>2</v>
      </c>
      <c r="G10" s="14">
        <f t="shared" si="3"/>
        <v>2</v>
      </c>
      <c r="H10" s="18">
        <f t="shared" si="1"/>
        <v>46314</v>
      </c>
      <c r="I10" s="18">
        <f t="shared" si="2"/>
        <v>46325</v>
      </c>
      <c r="J10" s="14" t="s">
        <v>17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</row>
    <row r="11" spans="1:22" ht="15" customHeight="1" x14ac:dyDescent="0.25">
      <c r="A11" s="14" t="s">
        <v>24</v>
      </c>
      <c r="B11" s="15" t="s">
        <v>25</v>
      </c>
      <c r="C11" s="21" t="s">
        <v>26</v>
      </c>
      <c r="D11" s="14" t="s">
        <v>13</v>
      </c>
      <c r="E11" s="17">
        <v>2</v>
      </c>
      <c r="F11" s="17">
        <v>1</v>
      </c>
      <c r="G11" s="14">
        <f t="shared" si="3"/>
        <v>2</v>
      </c>
      <c r="H11" s="18">
        <f t="shared" si="1"/>
        <v>46321</v>
      </c>
      <c r="I11" s="18">
        <f t="shared" si="2"/>
        <v>46325</v>
      </c>
      <c r="J11" s="14" t="s">
        <v>14</v>
      </c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</row>
    <row r="12" spans="1:22" ht="15" customHeight="1" x14ac:dyDescent="0.25">
      <c r="A12" s="14" t="s">
        <v>27</v>
      </c>
      <c r="B12" s="15" t="s">
        <v>28</v>
      </c>
      <c r="C12" s="16" t="s">
        <v>16</v>
      </c>
      <c r="D12" s="14" t="s">
        <v>13</v>
      </c>
      <c r="E12" s="17">
        <v>2</v>
      </c>
      <c r="F12" s="17">
        <v>2</v>
      </c>
      <c r="G12" s="14">
        <f t="shared" si="3"/>
        <v>3</v>
      </c>
      <c r="H12" s="18">
        <f t="shared" si="1"/>
        <v>46321</v>
      </c>
      <c r="I12" s="18">
        <f t="shared" si="2"/>
        <v>46332</v>
      </c>
      <c r="J12" s="14" t="s">
        <v>14</v>
      </c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</row>
    <row r="13" spans="1:22" ht="15" customHeight="1" x14ac:dyDescent="0.25">
      <c r="A13" s="14" t="s">
        <v>29</v>
      </c>
      <c r="B13" s="15" t="s">
        <v>30</v>
      </c>
      <c r="C13" s="16" t="s">
        <v>16</v>
      </c>
      <c r="D13" s="14" t="s">
        <v>13</v>
      </c>
      <c r="E13" s="17">
        <v>3</v>
      </c>
      <c r="F13" s="17">
        <v>1</v>
      </c>
      <c r="G13" s="14">
        <f t="shared" si="3"/>
        <v>3</v>
      </c>
      <c r="H13" s="18">
        <f t="shared" si="1"/>
        <v>46328</v>
      </c>
      <c r="I13" s="18">
        <f t="shared" si="2"/>
        <v>46332</v>
      </c>
      <c r="J13" s="14" t="s">
        <v>27</v>
      </c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2" ht="15" customHeight="1" x14ac:dyDescent="0.25">
      <c r="A14" s="14" t="s">
        <v>31</v>
      </c>
      <c r="B14" s="15" t="s">
        <v>32</v>
      </c>
      <c r="C14" s="22" t="s">
        <v>33</v>
      </c>
      <c r="D14" s="14" t="s">
        <v>13</v>
      </c>
      <c r="E14" s="17">
        <v>2</v>
      </c>
      <c r="F14" s="17">
        <v>1</v>
      </c>
      <c r="G14" s="14">
        <f t="shared" si="3"/>
        <v>2</v>
      </c>
      <c r="H14" s="18">
        <f t="shared" si="1"/>
        <v>46321</v>
      </c>
      <c r="I14" s="18">
        <f t="shared" si="2"/>
        <v>46325</v>
      </c>
      <c r="J14" s="14" t="s">
        <v>14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</row>
    <row r="15" spans="1:22" ht="15" customHeight="1" x14ac:dyDescent="0.25">
      <c r="A15" s="14" t="s">
        <v>34</v>
      </c>
      <c r="B15" s="15" t="s">
        <v>35</v>
      </c>
      <c r="C15" s="22" t="s">
        <v>33</v>
      </c>
      <c r="D15" s="14" t="s">
        <v>13</v>
      </c>
      <c r="E15" s="17">
        <v>3</v>
      </c>
      <c r="F15" s="17">
        <v>1</v>
      </c>
      <c r="G15" s="14">
        <f t="shared" si="3"/>
        <v>3</v>
      </c>
      <c r="H15" s="18">
        <f t="shared" si="1"/>
        <v>46328</v>
      </c>
      <c r="I15" s="18">
        <f t="shared" si="2"/>
        <v>46332</v>
      </c>
      <c r="J15" s="14" t="s">
        <v>36</v>
      </c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</row>
    <row r="16" spans="1:22" ht="15" customHeight="1" x14ac:dyDescent="0.25">
      <c r="A16" s="11">
        <v>2</v>
      </c>
      <c r="B16" s="12" t="s">
        <v>37</v>
      </c>
      <c r="C16" s="12"/>
      <c r="D16" s="11" t="s">
        <v>38</v>
      </c>
      <c r="E16" s="11">
        <f>MIN(E17:E24)</f>
        <v>3</v>
      </c>
      <c r="F16" s="11">
        <f>G16-E16+1</f>
        <v>5</v>
      </c>
      <c r="G16" s="11">
        <f>MAX(G17:G24)</f>
        <v>7</v>
      </c>
      <c r="H16" s="13">
        <f t="shared" si="1"/>
        <v>46328</v>
      </c>
      <c r="I16" s="13">
        <f t="shared" si="2"/>
        <v>46360</v>
      </c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ht="15" customHeight="1" x14ac:dyDescent="0.25">
      <c r="A17" s="14" t="s">
        <v>39</v>
      </c>
      <c r="B17" s="15" t="s">
        <v>40</v>
      </c>
      <c r="C17" s="16" t="s">
        <v>16</v>
      </c>
      <c r="D17" s="14" t="s">
        <v>38</v>
      </c>
      <c r="E17" s="17">
        <v>4</v>
      </c>
      <c r="F17" s="17">
        <v>1</v>
      </c>
      <c r="G17" s="14">
        <f t="shared" ref="G17:G24" si="4">E17+F17-1</f>
        <v>4</v>
      </c>
      <c r="H17" s="18">
        <f t="shared" si="1"/>
        <v>46335</v>
      </c>
      <c r="I17" s="18">
        <f t="shared" si="2"/>
        <v>46339</v>
      </c>
      <c r="J17" s="14" t="s">
        <v>29</v>
      </c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</row>
    <row r="18" spans="1:22" ht="15" customHeight="1" x14ac:dyDescent="0.25">
      <c r="A18" s="14" t="s">
        <v>41</v>
      </c>
      <c r="B18" s="15" t="s">
        <v>42</v>
      </c>
      <c r="C18" s="20" t="s">
        <v>23</v>
      </c>
      <c r="D18" s="14" t="s">
        <v>38</v>
      </c>
      <c r="E18" s="17">
        <v>3</v>
      </c>
      <c r="F18" s="17">
        <v>1</v>
      </c>
      <c r="G18" s="14">
        <f t="shared" si="4"/>
        <v>3</v>
      </c>
      <c r="H18" s="18">
        <f t="shared" si="1"/>
        <v>46328</v>
      </c>
      <c r="I18" s="18">
        <f t="shared" si="2"/>
        <v>46332</v>
      </c>
      <c r="J18" s="14" t="s">
        <v>21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</row>
    <row r="19" spans="1:22" ht="15" customHeight="1" x14ac:dyDescent="0.25">
      <c r="A19" s="14" t="s">
        <v>43</v>
      </c>
      <c r="B19" s="15" t="s">
        <v>44</v>
      </c>
      <c r="C19" s="20" t="s">
        <v>23</v>
      </c>
      <c r="D19" s="14" t="s">
        <v>38</v>
      </c>
      <c r="E19" s="17">
        <v>4</v>
      </c>
      <c r="F19" s="17">
        <v>2</v>
      </c>
      <c r="G19" s="14">
        <f t="shared" si="4"/>
        <v>5</v>
      </c>
      <c r="H19" s="18">
        <f t="shared" si="1"/>
        <v>46335</v>
      </c>
      <c r="I19" s="18">
        <f t="shared" si="2"/>
        <v>46346</v>
      </c>
      <c r="J19" s="14" t="s">
        <v>41</v>
      </c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spans="1:22" ht="15" customHeight="1" x14ac:dyDescent="0.25">
      <c r="A20" s="14" t="s">
        <v>45</v>
      </c>
      <c r="B20" s="15" t="s">
        <v>46</v>
      </c>
      <c r="C20" s="20" t="s">
        <v>23</v>
      </c>
      <c r="D20" s="14" t="s">
        <v>38</v>
      </c>
      <c r="E20" s="17">
        <v>6</v>
      </c>
      <c r="F20" s="17">
        <v>1</v>
      </c>
      <c r="G20" s="14">
        <f t="shared" si="4"/>
        <v>6</v>
      </c>
      <c r="H20" s="18">
        <f t="shared" si="1"/>
        <v>46349</v>
      </c>
      <c r="I20" s="18">
        <f t="shared" si="2"/>
        <v>46353</v>
      </c>
      <c r="J20" s="14" t="s">
        <v>43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</row>
    <row r="21" spans="1:22" ht="15" customHeight="1" x14ac:dyDescent="0.25">
      <c r="A21" s="14" t="s">
        <v>47</v>
      </c>
      <c r="B21" s="15" t="s">
        <v>48</v>
      </c>
      <c r="C21" s="19" t="s">
        <v>20</v>
      </c>
      <c r="D21" s="14" t="s">
        <v>38</v>
      </c>
      <c r="E21" s="17">
        <v>3</v>
      </c>
      <c r="F21" s="17">
        <v>2</v>
      </c>
      <c r="G21" s="14">
        <f t="shared" si="4"/>
        <v>4</v>
      </c>
      <c r="H21" s="18">
        <f t="shared" si="1"/>
        <v>46328</v>
      </c>
      <c r="I21" s="18">
        <f t="shared" si="2"/>
        <v>46339</v>
      </c>
      <c r="J21" s="14" t="s">
        <v>18</v>
      </c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spans="1:22" ht="15" customHeight="1" x14ac:dyDescent="0.25">
      <c r="A22" s="14" t="s">
        <v>49</v>
      </c>
      <c r="B22" s="15" t="s">
        <v>50</v>
      </c>
      <c r="C22" s="19" t="s">
        <v>20</v>
      </c>
      <c r="D22" s="14" t="s">
        <v>38</v>
      </c>
      <c r="E22" s="17">
        <v>5</v>
      </c>
      <c r="F22" s="17">
        <v>1</v>
      </c>
      <c r="G22" s="14">
        <f t="shared" si="4"/>
        <v>5</v>
      </c>
      <c r="H22" s="18">
        <f t="shared" si="1"/>
        <v>46342</v>
      </c>
      <c r="I22" s="18">
        <f t="shared" si="2"/>
        <v>46346</v>
      </c>
      <c r="J22" s="14" t="s">
        <v>47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</row>
    <row r="23" spans="1:22" ht="15" customHeight="1" x14ac:dyDescent="0.25">
      <c r="A23" s="14" t="s">
        <v>51</v>
      </c>
      <c r="B23" s="15" t="s">
        <v>52</v>
      </c>
      <c r="C23" s="19" t="s">
        <v>20</v>
      </c>
      <c r="D23" s="14" t="s">
        <v>38</v>
      </c>
      <c r="E23" s="17">
        <v>6</v>
      </c>
      <c r="F23" s="17">
        <v>1</v>
      </c>
      <c r="G23" s="14">
        <f t="shared" si="4"/>
        <v>6</v>
      </c>
      <c r="H23" s="18">
        <f t="shared" si="1"/>
        <v>46349</v>
      </c>
      <c r="I23" s="18">
        <f t="shared" si="2"/>
        <v>46353</v>
      </c>
      <c r="J23" s="14" t="s">
        <v>47</v>
      </c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spans="1:22" ht="15" customHeight="1" x14ac:dyDescent="0.25">
      <c r="A24" s="14" t="s">
        <v>53</v>
      </c>
      <c r="B24" s="15" t="s">
        <v>54</v>
      </c>
      <c r="C24" s="19" t="s">
        <v>20</v>
      </c>
      <c r="D24" s="14" t="s">
        <v>38</v>
      </c>
      <c r="E24" s="17">
        <v>7</v>
      </c>
      <c r="F24" s="17">
        <v>1</v>
      </c>
      <c r="G24" s="14">
        <f t="shared" si="4"/>
        <v>7</v>
      </c>
      <c r="H24" s="18">
        <f t="shared" si="1"/>
        <v>46356</v>
      </c>
      <c r="I24" s="18">
        <f t="shared" si="2"/>
        <v>46360</v>
      </c>
      <c r="J24" s="14" t="s">
        <v>55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</row>
    <row r="25" spans="1:22" ht="15" customHeight="1" x14ac:dyDescent="0.25">
      <c r="A25" s="11">
        <v>3</v>
      </c>
      <c r="B25" s="12" t="s">
        <v>56</v>
      </c>
      <c r="C25" s="12"/>
      <c r="D25" s="11" t="s">
        <v>57</v>
      </c>
      <c r="E25" s="11">
        <f>MIN(E26:E33)</f>
        <v>6</v>
      </c>
      <c r="F25" s="11">
        <f>G25-E25+1</f>
        <v>3</v>
      </c>
      <c r="G25" s="11">
        <f>MAX(G26:G33)</f>
        <v>8</v>
      </c>
      <c r="H25" s="13">
        <f t="shared" si="1"/>
        <v>46349</v>
      </c>
      <c r="I25" s="13">
        <f t="shared" si="2"/>
        <v>46367</v>
      </c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ht="15" customHeight="1" x14ac:dyDescent="0.25">
      <c r="A26" s="14" t="s">
        <v>58</v>
      </c>
      <c r="B26" s="15" t="s">
        <v>59</v>
      </c>
      <c r="C26" s="22" t="s">
        <v>33</v>
      </c>
      <c r="D26" s="14" t="s">
        <v>57</v>
      </c>
      <c r="E26" s="17">
        <v>6</v>
      </c>
      <c r="F26" s="17">
        <v>1</v>
      </c>
      <c r="G26" s="14">
        <f t="shared" ref="G26:G33" si="5">E26+F26-1</f>
        <v>6</v>
      </c>
      <c r="H26" s="18">
        <f t="shared" si="1"/>
        <v>46349</v>
      </c>
      <c r="I26" s="18">
        <f t="shared" si="2"/>
        <v>46353</v>
      </c>
      <c r="J26" s="14" t="s">
        <v>60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</row>
    <row r="27" spans="1:22" ht="15" customHeight="1" x14ac:dyDescent="0.25">
      <c r="A27" s="14" t="s">
        <v>61</v>
      </c>
      <c r="B27" s="15" t="s">
        <v>62</v>
      </c>
      <c r="C27" s="22" t="s">
        <v>33</v>
      </c>
      <c r="D27" s="14" t="s">
        <v>57</v>
      </c>
      <c r="E27" s="17">
        <v>7</v>
      </c>
      <c r="F27" s="17">
        <v>1</v>
      </c>
      <c r="G27" s="14">
        <f t="shared" si="5"/>
        <v>7</v>
      </c>
      <c r="H27" s="18">
        <f t="shared" si="1"/>
        <v>46356</v>
      </c>
      <c r="I27" s="18">
        <f t="shared" si="2"/>
        <v>46360</v>
      </c>
      <c r="J27" s="14" t="s">
        <v>58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spans="1:22" ht="15" customHeight="1" x14ac:dyDescent="0.25">
      <c r="A28" s="14" t="s">
        <v>63</v>
      </c>
      <c r="B28" s="15" t="s">
        <v>64</v>
      </c>
      <c r="C28" s="22" t="s">
        <v>33</v>
      </c>
      <c r="D28" s="14" t="s">
        <v>57</v>
      </c>
      <c r="E28" s="17">
        <v>8</v>
      </c>
      <c r="F28" s="17">
        <v>1</v>
      </c>
      <c r="G28" s="14">
        <f t="shared" si="5"/>
        <v>8</v>
      </c>
      <c r="H28" s="18">
        <f t="shared" si="1"/>
        <v>46363</v>
      </c>
      <c r="I28" s="18">
        <f t="shared" si="2"/>
        <v>46367</v>
      </c>
      <c r="J28" s="14" t="s">
        <v>61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spans="1:22" ht="15" customHeight="1" x14ac:dyDescent="0.25">
      <c r="A29" s="14" t="s">
        <v>65</v>
      </c>
      <c r="B29" s="15" t="s">
        <v>66</v>
      </c>
      <c r="C29" s="20" t="s">
        <v>23</v>
      </c>
      <c r="D29" s="14" t="s">
        <v>57</v>
      </c>
      <c r="E29" s="17">
        <v>7</v>
      </c>
      <c r="F29" s="17">
        <v>1</v>
      </c>
      <c r="G29" s="14">
        <f t="shared" si="5"/>
        <v>7</v>
      </c>
      <c r="H29" s="18">
        <f t="shared" si="1"/>
        <v>46356</v>
      </c>
      <c r="I29" s="18">
        <f t="shared" si="2"/>
        <v>46360</v>
      </c>
      <c r="J29" s="14" t="s">
        <v>43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  <row r="30" spans="1:22" ht="15" customHeight="1" x14ac:dyDescent="0.25">
      <c r="A30" s="14" t="s">
        <v>67</v>
      </c>
      <c r="B30" s="15" t="s">
        <v>68</v>
      </c>
      <c r="C30" s="20" t="s">
        <v>23</v>
      </c>
      <c r="D30" s="14" t="s">
        <v>57</v>
      </c>
      <c r="E30" s="17">
        <v>8</v>
      </c>
      <c r="F30" s="17">
        <v>1</v>
      </c>
      <c r="G30" s="14">
        <f t="shared" si="5"/>
        <v>8</v>
      </c>
      <c r="H30" s="18">
        <f t="shared" si="1"/>
        <v>46363</v>
      </c>
      <c r="I30" s="18">
        <f t="shared" si="2"/>
        <v>46367</v>
      </c>
      <c r="J30" s="14" t="s">
        <v>65</v>
      </c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</row>
    <row r="31" spans="1:22" ht="15" customHeight="1" x14ac:dyDescent="0.25">
      <c r="A31" s="14" t="s">
        <v>69</v>
      </c>
      <c r="B31" s="15" t="s">
        <v>70</v>
      </c>
      <c r="C31" s="19" t="s">
        <v>20</v>
      </c>
      <c r="D31" s="14" t="s">
        <v>57</v>
      </c>
      <c r="E31" s="17">
        <v>8</v>
      </c>
      <c r="F31" s="17">
        <v>1</v>
      </c>
      <c r="G31" s="14">
        <f t="shared" si="5"/>
        <v>8</v>
      </c>
      <c r="H31" s="18">
        <f t="shared" si="1"/>
        <v>46363</v>
      </c>
      <c r="I31" s="18">
        <f t="shared" si="2"/>
        <v>46367</v>
      </c>
      <c r="J31" s="14" t="s">
        <v>71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</row>
    <row r="32" spans="1:22" ht="15" customHeight="1" x14ac:dyDescent="0.25">
      <c r="A32" s="14" t="s">
        <v>72</v>
      </c>
      <c r="B32" s="15" t="s">
        <v>73</v>
      </c>
      <c r="C32" s="16" t="s">
        <v>16</v>
      </c>
      <c r="D32" s="14" t="s">
        <v>57</v>
      </c>
      <c r="E32" s="17">
        <v>7</v>
      </c>
      <c r="F32" s="17">
        <v>1</v>
      </c>
      <c r="G32" s="14">
        <f t="shared" si="5"/>
        <v>7</v>
      </c>
      <c r="H32" s="18">
        <f t="shared" si="1"/>
        <v>46356</v>
      </c>
      <c r="I32" s="18">
        <f t="shared" si="2"/>
        <v>46360</v>
      </c>
      <c r="J32" s="14" t="s">
        <v>45</v>
      </c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spans="1:22" ht="15" customHeight="1" x14ac:dyDescent="0.25">
      <c r="A33" s="14" t="s">
        <v>74</v>
      </c>
      <c r="B33" s="15" t="s">
        <v>75</v>
      </c>
      <c r="C33" s="16" t="s">
        <v>16</v>
      </c>
      <c r="D33" s="14" t="s">
        <v>57</v>
      </c>
      <c r="E33" s="17">
        <v>8</v>
      </c>
      <c r="F33" s="17">
        <v>1</v>
      </c>
      <c r="G33" s="14">
        <f t="shared" si="5"/>
        <v>8</v>
      </c>
      <c r="H33" s="18">
        <f t="shared" si="1"/>
        <v>46363</v>
      </c>
      <c r="I33" s="18">
        <f t="shared" si="2"/>
        <v>46367</v>
      </c>
      <c r="J33" s="14" t="s">
        <v>61</v>
      </c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</row>
    <row r="34" spans="1:22" ht="15" customHeight="1" x14ac:dyDescent="0.25">
      <c r="A34" s="11">
        <v>4</v>
      </c>
      <c r="B34" s="12" t="s">
        <v>76</v>
      </c>
      <c r="C34" s="12"/>
      <c r="D34" s="11" t="s">
        <v>77</v>
      </c>
      <c r="E34" s="11">
        <f>MIN(E35:E39)</f>
        <v>1</v>
      </c>
      <c r="F34" s="11">
        <f>G34-E34+1</f>
        <v>10</v>
      </c>
      <c r="G34" s="11">
        <f>MAX(G35:G39)</f>
        <v>10</v>
      </c>
      <c r="H34" s="13">
        <f t="shared" si="1"/>
        <v>46314</v>
      </c>
      <c r="I34" s="13">
        <f t="shared" si="2"/>
        <v>46381</v>
      </c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ht="15" customHeight="1" x14ac:dyDescent="0.25">
      <c r="A35" s="14" t="s">
        <v>78</v>
      </c>
      <c r="B35" s="15" t="s">
        <v>79</v>
      </c>
      <c r="C35" s="21" t="s">
        <v>26</v>
      </c>
      <c r="D35" s="14" t="s">
        <v>77</v>
      </c>
      <c r="E35" s="17">
        <v>1</v>
      </c>
      <c r="F35" s="17">
        <v>1</v>
      </c>
      <c r="G35" s="14">
        <f>E35+F35-1</f>
        <v>1</v>
      </c>
      <c r="H35" s="18">
        <f t="shared" si="1"/>
        <v>46314</v>
      </c>
      <c r="I35" s="18">
        <f t="shared" si="2"/>
        <v>46318</v>
      </c>
      <c r="J35" s="14" t="s">
        <v>17</v>
      </c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</row>
    <row r="36" spans="1:22" ht="15" customHeight="1" x14ac:dyDescent="0.25">
      <c r="A36" s="14" t="s">
        <v>80</v>
      </c>
      <c r="B36" s="15" t="s">
        <v>81</v>
      </c>
      <c r="C36" s="21" t="s">
        <v>26</v>
      </c>
      <c r="D36" s="14" t="s">
        <v>77</v>
      </c>
      <c r="E36" s="17">
        <v>2</v>
      </c>
      <c r="F36" s="17">
        <v>9</v>
      </c>
      <c r="G36" s="14">
        <f>E36+F36-1</f>
        <v>10</v>
      </c>
      <c r="H36" s="18">
        <f t="shared" si="1"/>
        <v>46321</v>
      </c>
      <c r="I36" s="18">
        <f t="shared" si="2"/>
        <v>46381</v>
      </c>
      <c r="J36" s="14" t="s">
        <v>17</v>
      </c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</row>
    <row r="37" spans="1:22" ht="15" customHeight="1" x14ac:dyDescent="0.25">
      <c r="A37" s="14" t="s">
        <v>82</v>
      </c>
      <c r="B37" s="15" t="s">
        <v>83</v>
      </c>
      <c r="C37" s="21" t="s">
        <v>26</v>
      </c>
      <c r="D37" s="14" t="s">
        <v>77</v>
      </c>
      <c r="E37" s="17">
        <v>6</v>
      </c>
      <c r="F37" s="17">
        <v>1</v>
      </c>
      <c r="G37" s="14">
        <f>E37+F37-1</f>
        <v>6</v>
      </c>
      <c r="H37" s="18">
        <f t="shared" si="1"/>
        <v>46349</v>
      </c>
      <c r="I37" s="18">
        <f t="shared" si="2"/>
        <v>46353</v>
      </c>
      <c r="J37" s="14" t="s">
        <v>24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</row>
    <row r="38" spans="1:22" ht="15" customHeight="1" x14ac:dyDescent="0.25">
      <c r="A38" s="14" t="s">
        <v>84</v>
      </c>
      <c r="B38" s="15" t="s">
        <v>85</v>
      </c>
      <c r="C38" s="21" t="s">
        <v>26</v>
      </c>
      <c r="D38" s="14" t="s">
        <v>77</v>
      </c>
      <c r="E38" s="17">
        <v>9</v>
      </c>
      <c r="F38" s="17">
        <v>1</v>
      </c>
      <c r="G38" s="14">
        <f>E38+F38-1</f>
        <v>9</v>
      </c>
      <c r="H38" s="18">
        <f t="shared" si="1"/>
        <v>46370</v>
      </c>
      <c r="I38" s="18">
        <f t="shared" si="2"/>
        <v>46374</v>
      </c>
      <c r="J38" s="14" t="s">
        <v>86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spans="1:22" ht="15" customHeight="1" x14ac:dyDescent="0.25">
      <c r="A39" s="14" t="s">
        <v>87</v>
      </c>
      <c r="B39" s="15" t="s">
        <v>88</v>
      </c>
      <c r="C39" s="21" t="s">
        <v>26</v>
      </c>
      <c r="D39" s="14" t="s">
        <v>77</v>
      </c>
      <c r="E39" s="17">
        <v>10</v>
      </c>
      <c r="F39" s="17">
        <v>1</v>
      </c>
      <c r="G39" s="14">
        <f>E39+F39-1</f>
        <v>10</v>
      </c>
      <c r="H39" s="18">
        <f t="shared" si="1"/>
        <v>46377</v>
      </c>
      <c r="I39" s="18">
        <f t="shared" si="2"/>
        <v>46381</v>
      </c>
      <c r="J39" s="14" t="s">
        <v>84</v>
      </c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</row>
    <row r="40" spans="1:22" ht="15" customHeight="1" x14ac:dyDescent="0.25">
      <c r="A40" s="11">
        <v>5</v>
      </c>
      <c r="B40" s="12" t="s">
        <v>89</v>
      </c>
      <c r="C40" s="12"/>
      <c r="D40" s="11" t="s">
        <v>89</v>
      </c>
      <c r="E40" s="11">
        <f>MIN(E41:E45)</f>
        <v>1</v>
      </c>
      <c r="F40" s="11">
        <f>G40-E40+1</f>
        <v>10</v>
      </c>
      <c r="G40" s="11">
        <f>MAX(G41:G45)</f>
        <v>10</v>
      </c>
      <c r="H40" s="13">
        <f t="shared" si="1"/>
        <v>46314</v>
      </c>
      <c r="I40" s="13">
        <f t="shared" si="2"/>
        <v>46381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</row>
    <row r="41" spans="1:22" ht="15" customHeight="1" x14ac:dyDescent="0.25">
      <c r="A41" s="14" t="s">
        <v>90</v>
      </c>
      <c r="B41" s="15" t="s">
        <v>91</v>
      </c>
      <c r="C41" s="23" t="s">
        <v>92</v>
      </c>
      <c r="D41" s="14" t="s">
        <v>89</v>
      </c>
      <c r="E41" s="17">
        <v>1</v>
      </c>
      <c r="F41" s="17">
        <v>1</v>
      </c>
      <c r="G41" s="14">
        <f>E41+F41-1</f>
        <v>1</v>
      </c>
      <c r="H41" s="18">
        <f t="shared" si="1"/>
        <v>46314</v>
      </c>
      <c r="I41" s="18">
        <f t="shared" si="2"/>
        <v>46318</v>
      </c>
      <c r="J41" s="14" t="s">
        <v>14</v>
      </c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</row>
    <row r="42" spans="1:22" ht="15" customHeight="1" x14ac:dyDescent="0.25">
      <c r="A42" s="14" t="s">
        <v>93</v>
      </c>
      <c r="B42" s="15" t="s">
        <v>94</v>
      </c>
      <c r="C42" s="23" t="s">
        <v>92</v>
      </c>
      <c r="D42" s="14" t="s">
        <v>89</v>
      </c>
      <c r="E42" s="17">
        <v>3</v>
      </c>
      <c r="F42" s="17">
        <v>1</v>
      </c>
      <c r="G42" s="14">
        <f>E42+F42-1</f>
        <v>3</v>
      </c>
      <c r="H42" s="18">
        <f t="shared" si="1"/>
        <v>46328</v>
      </c>
      <c r="I42" s="18">
        <f t="shared" si="2"/>
        <v>46332</v>
      </c>
      <c r="J42" s="14" t="s">
        <v>34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spans="1:22" ht="15" customHeight="1" x14ac:dyDescent="0.25">
      <c r="A43" s="14" t="s">
        <v>95</v>
      </c>
      <c r="B43" s="15" t="s">
        <v>96</v>
      </c>
      <c r="C43" s="23" t="s">
        <v>92</v>
      </c>
      <c r="D43" s="14" t="s">
        <v>89</v>
      </c>
      <c r="E43" s="17">
        <v>7</v>
      </c>
      <c r="F43" s="17">
        <v>1</v>
      </c>
      <c r="G43" s="14">
        <f>E43+F43-1</f>
        <v>7</v>
      </c>
      <c r="H43" s="18">
        <f t="shared" si="1"/>
        <v>46356</v>
      </c>
      <c r="I43" s="18">
        <f t="shared" si="2"/>
        <v>46360</v>
      </c>
      <c r="J43" s="14" t="s">
        <v>97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</row>
    <row r="44" spans="1:22" ht="15" customHeight="1" x14ac:dyDescent="0.25">
      <c r="A44" s="14" t="s">
        <v>98</v>
      </c>
      <c r="B44" s="15" t="s">
        <v>99</v>
      </c>
      <c r="C44" s="23" t="s">
        <v>92</v>
      </c>
      <c r="D44" s="14" t="s">
        <v>89</v>
      </c>
      <c r="E44" s="17">
        <v>8</v>
      </c>
      <c r="F44" s="17">
        <v>1</v>
      </c>
      <c r="G44" s="14">
        <f>E44+F44-1</f>
        <v>8</v>
      </c>
      <c r="H44" s="18">
        <f t="shared" si="1"/>
        <v>46363</v>
      </c>
      <c r="I44" s="18">
        <f t="shared" si="2"/>
        <v>46367</v>
      </c>
      <c r="J44" s="14" t="s">
        <v>63</v>
      </c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spans="1:22" ht="15" customHeight="1" x14ac:dyDescent="0.25">
      <c r="A45" s="14" t="s">
        <v>100</v>
      </c>
      <c r="B45" s="15" t="s">
        <v>101</v>
      </c>
      <c r="C45" s="23" t="s">
        <v>92</v>
      </c>
      <c r="D45" s="14" t="s">
        <v>89</v>
      </c>
      <c r="E45" s="17">
        <v>10</v>
      </c>
      <c r="F45" s="17">
        <v>1</v>
      </c>
      <c r="G45" s="14">
        <f>E45+F45-1</f>
        <v>10</v>
      </c>
      <c r="H45" s="18">
        <f t="shared" si="1"/>
        <v>46377</v>
      </c>
      <c r="I45" s="18">
        <f t="shared" si="2"/>
        <v>46381</v>
      </c>
      <c r="J45" s="14" t="s">
        <v>87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</row>
    <row r="47" spans="1:22" ht="15" customHeight="1" x14ac:dyDescent="0.25">
      <c r="B47" s="4" t="s">
        <v>102</v>
      </c>
    </row>
    <row r="48" spans="1:22" ht="15" customHeight="1" x14ac:dyDescent="0.25">
      <c r="B48" s="24" t="s">
        <v>26</v>
      </c>
    </row>
    <row r="49" spans="2:2" ht="15" customHeight="1" x14ac:dyDescent="0.25">
      <c r="B49" s="25" t="s">
        <v>16</v>
      </c>
    </row>
    <row r="50" spans="2:2" ht="15" customHeight="1" x14ac:dyDescent="0.25">
      <c r="B50" s="26" t="s">
        <v>33</v>
      </c>
    </row>
    <row r="51" spans="2:2" ht="15" customHeight="1" x14ac:dyDescent="0.25">
      <c r="B51" s="27" t="s">
        <v>23</v>
      </c>
    </row>
    <row r="52" spans="2:2" ht="15" customHeight="1" x14ac:dyDescent="0.25">
      <c r="B52" s="28" t="s">
        <v>20</v>
      </c>
    </row>
    <row r="53" spans="2:2" ht="15" customHeight="1" x14ac:dyDescent="0.25">
      <c r="B53" s="29" t="s">
        <v>92</v>
      </c>
    </row>
    <row r="54" spans="2:2" ht="15" customHeight="1" x14ac:dyDescent="0.25">
      <c r="B54" s="6"/>
    </row>
  </sheetData>
  <conditionalFormatting sqref="K5:V6">
    <cfRule type="expression" dxfId="13" priority="9">
      <formula>AND(TODAY()&gt;=K$5,TODAY()&lt;K$5+7)</formula>
    </cfRule>
  </conditionalFormatting>
  <conditionalFormatting sqref="K7:V45">
    <cfRule type="expression" dxfId="12" priority="2">
      <formula>AND($C7="",AND(K$6&gt;=$E7,K$6&lt;=$G7))</formula>
    </cfRule>
    <cfRule type="expression" dxfId="11" priority="3">
      <formula>AND($C7="Abraham Castro",AND(K$6&gt;=$E7,K$6&lt;=$G7))</formula>
    </cfRule>
    <cfRule type="expression" dxfId="10" priority="4">
      <formula>AND($C7="Sebastián Fuentes",AND(K$6&gt;=$E7,K$6&lt;=$G7))</formula>
    </cfRule>
    <cfRule type="expression" dxfId="9" priority="5">
      <formula>AND($C7="Lisandra González",AND(K$6&gt;=$E7,K$6&lt;=$G7))</formula>
    </cfRule>
    <cfRule type="expression" dxfId="8" priority="6">
      <formula>AND($C7="Felipe Murúa",AND(K$6&gt;=$E7,K$6&lt;=$G7))</formula>
    </cfRule>
    <cfRule type="expression" dxfId="7" priority="7">
      <formula>AND($C7="Bárbara Saavedra",AND(K$6&gt;=$E7,K$6&lt;=$G7))</formula>
    </cfRule>
    <cfRule type="expression" dxfId="6" priority="8">
      <formula>AND($C7="Equipo",AND(K$6&gt;=$E7,K$6&lt;=$G7))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Normal="100" workbookViewId="0">
      <pane ySplit="4" topLeftCell="A5" activePane="bottomLeft" state="frozen"/>
      <selection pane="bottomLeft" activeCell="A2" sqref="A2"/>
    </sheetView>
  </sheetViews>
  <sheetFormatPr baseColWidth="10" defaultColWidth="8.7109375" defaultRowHeight="15" x14ac:dyDescent="0.25"/>
  <cols>
    <col min="1" max="1" width="22" style="2" customWidth="1"/>
    <col min="2" max="2" width="34" style="2" customWidth="1"/>
    <col min="3" max="3" width="70" style="2" customWidth="1"/>
    <col min="4" max="4" width="28" style="2" customWidth="1"/>
    <col min="5" max="5" width="20" style="2" customWidth="1"/>
    <col min="6" max="6" width="16" style="2" customWidth="1"/>
  </cols>
  <sheetData>
    <row r="1" spans="1:6" ht="17.25" customHeight="1" x14ac:dyDescent="0.25">
      <c r="A1" s="3" t="s">
        <v>103</v>
      </c>
    </row>
    <row r="2" spans="1:6" ht="15" customHeight="1" x14ac:dyDescent="0.25">
      <c r="A2" s="30"/>
    </row>
    <row r="4" spans="1:6" ht="31.5" customHeight="1" x14ac:dyDescent="0.25">
      <c r="A4" s="31" t="s">
        <v>104</v>
      </c>
      <c r="B4" s="31" t="s">
        <v>105</v>
      </c>
      <c r="C4" s="31" t="s">
        <v>106</v>
      </c>
      <c r="D4" s="31" t="s">
        <v>107</v>
      </c>
      <c r="E4" s="31" t="s">
        <v>108</v>
      </c>
      <c r="F4" s="31" t="s">
        <v>109</v>
      </c>
    </row>
    <row r="5" spans="1:6" ht="61.5" customHeight="1" x14ac:dyDescent="0.25">
      <c r="A5" s="32" t="s">
        <v>26</v>
      </c>
      <c r="B5" s="32" t="s">
        <v>110</v>
      </c>
      <c r="C5" s="33" t="s">
        <v>111</v>
      </c>
      <c r="D5" s="33" t="s">
        <v>112</v>
      </c>
      <c r="E5" s="33" t="s">
        <v>113</v>
      </c>
      <c r="F5" s="34">
        <f>COUNTIF(Responsabilidades!$A:$A,A5)</f>
        <v>5</v>
      </c>
    </row>
    <row r="6" spans="1:6" ht="61.5" customHeight="1" x14ac:dyDescent="0.25">
      <c r="A6" s="35" t="s">
        <v>16</v>
      </c>
      <c r="B6" s="35" t="s">
        <v>114</v>
      </c>
      <c r="C6" s="33" t="s">
        <v>115</v>
      </c>
      <c r="D6" s="33" t="s">
        <v>116</v>
      </c>
      <c r="E6" s="33" t="s">
        <v>13</v>
      </c>
      <c r="F6" s="34">
        <f>COUNTIF(Responsabilidades!$A:$A,A6)</f>
        <v>5</v>
      </c>
    </row>
    <row r="7" spans="1:6" ht="61.5" customHeight="1" x14ac:dyDescent="0.25">
      <c r="A7" s="36" t="s">
        <v>33</v>
      </c>
      <c r="B7" s="36" t="s">
        <v>117</v>
      </c>
      <c r="C7" s="33" t="s">
        <v>118</v>
      </c>
      <c r="D7" s="33" t="s">
        <v>119</v>
      </c>
      <c r="E7" s="33" t="s">
        <v>120</v>
      </c>
      <c r="F7" s="34">
        <f>COUNTIF(Responsabilidades!$A:$A,A7)</f>
        <v>5</v>
      </c>
    </row>
    <row r="8" spans="1:6" ht="61.5" customHeight="1" x14ac:dyDescent="0.25">
      <c r="A8" s="37" t="s">
        <v>23</v>
      </c>
      <c r="B8" s="37" t="s">
        <v>121</v>
      </c>
      <c r="C8" s="33" t="s">
        <v>122</v>
      </c>
      <c r="D8" s="33" t="s">
        <v>123</v>
      </c>
      <c r="E8" s="33" t="s">
        <v>124</v>
      </c>
      <c r="F8" s="34">
        <f>COUNTIF(Responsabilidades!$A:$A,A8)</f>
        <v>5</v>
      </c>
    </row>
    <row r="9" spans="1:6" ht="61.5" customHeight="1" x14ac:dyDescent="0.25">
      <c r="A9" s="38" t="s">
        <v>20</v>
      </c>
      <c r="B9" s="38" t="s">
        <v>125</v>
      </c>
      <c r="C9" s="33" t="s">
        <v>126</v>
      </c>
      <c r="D9" s="33" t="s">
        <v>127</v>
      </c>
      <c r="E9" s="33" t="s">
        <v>38</v>
      </c>
      <c r="F9" s="34">
        <f>COUNTIF(Responsabilidades!$A:$A,A9)</f>
        <v>5</v>
      </c>
    </row>
    <row r="10" spans="1:6" ht="15" customHeight="1" x14ac:dyDescent="0.25">
      <c r="E10" s="4" t="s">
        <v>128</v>
      </c>
      <c r="F10" s="39">
        <f>SUM(F5:F9)</f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2" sqref="A2"/>
    </sheetView>
  </sheetViews>
  <sheetFormatPr baseColWidth="10" defaultColWidth="8.7109375" defaultRowHeight="15" x14ac:dyDescent="0.25"/>
  <cols>
    <col min="1" max="1" width="6" customWidth="1"/>
    <col min="2" max="2" width="62" customWidth="1"/>
    <col min="3" max="7" width="17" customWidth="1"/>
    <col min="8" max="9" width="9" customWidth="1"/>
    <col min="10" max="10" width="10" customWidth="1"/>
  </cols>
  <sheetData>
    <row r="1" spans="1:10" ht="18" x14ac:dyDescent="0.25">
      <c r="A1" s="40" t="s">
        <v>129</v>
      </c>
    </row>
    <row r="2" spans="1:10" x14ac:dyDescent="0.25">
      <c r="A2" s="41" t="s">
        <v>130</v>
      </c>
    </row>
    <row r="4" spans="1:10" ht="45.75" customHeight="1" x14ac:dyDescent="0.25">
      <c r="A4" s="42" t="s">
        <v>131</v>
      </c>
      <c r="B4" s="42" t="s">
        <v>3</v>
      </c>
      <c r="C4" s="42" t="s">
        <v>132</v>
      </c>
      <c r="D4" s="42" t="s">
        <v>133</v>
      </c>
      <c r="E4" s="42" t="s">
        <v>134</v>
      </c>
      <c r="F4" s="42" t="s">
        <v>135</v>
      </c>
      <c r="G4" s="42" t="s">
        <v>136</v>
      </c>
      <c r="H4" s="42" t="s">
        <v>137</v>
      </c>
      <c r="I4" s="42" t="s">
        <v>138</v>
      </c>
      <c r="J4" s="42" t="s">
        <v>139</v>
      </c>
    </row>
    <row r="5" spans="1:10" ht="30" customHeight="1" x14ac:dyDescent="0.25">
      <c r="A5" s="43">
        <v>1</v>
      </c>
      <c r="B5" s="44" t="s">
        <v>140</v>
      </c>
      <c r="C5" s="45" t="s">
        <v>141</v>
      </c>
      <c r="D5" s="45" t="s">
        <v>142</v>
      </c>
      <c r="E5" s="45" t="s">
        <v>143</v>
      </c>
      <c r="F5" s="45" t="s">
        <v>143</v>
      </c>
      <c r="G5" s="45" t="s">
        <v>144</v>
      </c>
      <c r="H5" s="43">
        <f t="shared" ref="H5:H23" si="0">COUNTIF(C5:G5,"A*")</f>
        <v>1</v>
      </c>
      <c r="I5" s="43">
        <f t="shared" ref="I5:I23" si="1">COUNTIF(C5:G5,"*R*")</f>
        <v>2</v>
      </c>
      <c r="J5" s="43" t="str">
        <f t="shared" ref="J5:J23" si="2">IF(AND(H5=1,I5&gt;=1),"OK","Revisar")</f>
        <v>OK</v>
      </c>
    </row>
    <row r="6" spans="1:10" ht="30" customHeight="1" x14ac:dyDescent="0.25">
      <c r="A6" s="43">
        <v>2</v>
      </c>
      <c r="B6" s="44" t="s">
        <v>145</v>
      </c>
      <c r="C6" s="45" t="s">
        <v>142</v>
      </c>
      <c r="D6" s="45" t="s">
        <v>141</v>
      </c>
      <c r="E6" s="45" t="s">
        <v>143</v>
      </c>
      <c r="F6" s="45" t="s">
        <v>143</v>
      </c>
      <c r="G6" s="45" t="s">
        <v>142</v>
      </c>
      <c r="H6" s="43">
        <f t="shared" si="0"/>
        <v>1</v>
      </c>
      <c r="I6" s="43">
        <f t="shared" si="1"/>
        <v>1</v>
      </c>
      <c r="J6" s="43" t="str">
        <f t="shared" si="2"/>
        <v>OK</v>
      </c>
    </row>
    <row r="7" spans="1:10" ht="30" customHeight="1" x14ac:dyDescent="0.25">
      <c r="A7" s="43">
        <v>3</v>
      </c>
      <c r="B7" s="44" t="s">
        <v>146</v>
      </c>
      <c r="C7" s="45" t="s">
        <v>142</v>
      </c>
      <c r="D7" s="45" t="s">
        <v>141</v>
      </c>
      <c r="E7" s="45" t="s">
        <v>143</v>
      </c>
      <c r="F7" s="45" t="s">
        <v>142</v>
      </c>
      <c r="G7" s="45" t="s">
        <v>142</v>
      </c>
      <c r="H7" s="43">
        <f t="shared" si="0"/>
        <v>1</v>
      </c>
      <c r="I7" s="43">
        <f t="shared" si="1"/>
        <v>1</v>
      </c>
      <c r="J7" s="43" t="str">
        <f t="shared" si="2"/>
        <v>OK</v>
      </c>
    </row>
    <row r="8" spans="1:10" ht="30" customHeight="1" x14ac:dyDescent="0.25">
      <c r="A8" s="43">
        <v>4</v>
      </c>
      <c r="B8" s="44" t="s">
        <v>147</v>
      </c>
      <c r="C8" s="45" t="s">
        <v>142</v>
      </c>
      <c r="D8" s="45" t="s">
        <v>141</v>
      </c>
      <c r="E8" s="45" t="s">
        <v>143</v>
      </c>
      <c r="F8" s="45" t="s">
        <v>143</v>
      </c>
      <c r="G8" s="45" t="s">
        <v>142</v>
      </c>
      <c r="H8" s="43">
        <f t="shared" si="0"/>
        <v>1</v>
      </c>
      <c r="I8" s="43">
        <f t="shared" si="1"/>
        <v>1</v>
      </c>
      <c r="J8" s="43" t="str">
        <f t="shared" si="2"/>
        <v>OK</v>
      </c>
    </row>
    <row r="9" spans="1:10" ht="30" customHeight="1" x14ac:dyDescent="0.25">
      <c r="A9" s="43">
        <v>5</v>
      </c>
      <c r="B9" s="44" t="s">
        <v>148</v>
      </c>
      <c r="C9" s="45" t="s">
        <v>142</v>
      </c>
      <c r="D9" s="45" t="s">
        <v>143</v>
      </c>
      <c r="E9" s="45" t="s">
        <v>141</v>
      </c>
      <c r="F9" s="45" t="s">
        <v>143</v>
      </c>
      <c r="G9" s="45" t="s">
        <v>142</v>
      </c>
      <c r="H9" s="43">
        <f t="shared" si="0"/>
        <v>1</v>
      </c>
      <c r="I9" s="43">
        <f t="shared" si="1"/>
        <v>1</v>
      </c>
      <c r="J9" s="43" t="str">
        <f t="shared" si="2"/>
        <v>OK</v>
      </c>
    </row>
    <row r="10" spans="1:10" ht="30" customHeight="1" x14ac:dyDescent="0.25">
      <c r="A10" s="43">
        <v>6</v>
      </c>
      <c r="B10" s="44" t="s">
        <v>149</v>
      </c>
      <c r="C10" s="45" t="s">
        <v>142</v>
      </c>
      <c r="D10" s="45" t="s">
        <v>142</v>
      </c>
      <c r="E10" s="45" t="s">
        <v>141</v>
      </c>
      <c r="F10" s="45" t="s">
        <v>143</v>
      </c>
      <c r="G10" s="45" t="s">
        <v>142</v>
      </c>
      <c r="H10" s="43">
        <f t="shared" si="0"/>
        <v>1</v>
      </c>
      <c r="I10" s="43">
        <f t="shared" si="1"/>
        <v>1</v>
      </c>
      <c r="J10" s="43" t="str">
        <f t="shared" si="2"/>
        <v>OK</v>
      </c>
    </row>
    <row r="11" spans="1:10" ht="30" customHeight="1" x14ac:dyDescent="0.25">
      <c r="A11" s="43">
        <v>7</v>
      </c>
      <c r="B11" s="44" t="s">
        <v>150</v>
      </c>
      <c r="C11" s="45" t="s">
        <v>142</v>
      </c>
      <c r="D11" s="45" t="s">
        <v>142</v>
      </c>
      <c r="E11" s="45" t="s">
        <v>141</v>
      </c>
      <c r="F11" s="45" t="s">
        <v>143</v>
      </c>
      <c r="G11" s="45" t="s">
        <v>142</v>
      </c>
      <c r="H11" s="43">
        <f t="shared" si="0"/>
        <v>1</v>
      </c>
      <c r="I11" s="43">
        <f t="shared" si="1"/>
        <v>1</v>
      </c>
      <c r="J11" s="43" t="str">
        <f t="shared" si="2"/>
        <v>OK</v>
      </c>
    </row>
    <row r="12" spans="1:10" ht="30" customHeight="1" x14ac:dyDescent="0.25">
      <c r="A12" s="43">
        <v>8</v>
      </c>
      <c r="B12" s="44" t="s">
        <v>44</v>
      </c>
      <c r="C12" s="45" t="s">
        <v>142</v>
      </c>
      <c r="D12" s="45" t="s">
        <v>142</v>
      </c>
      <c r="E12" s="45" t="s">
        <v>143</v>
      </c>
      <c r="F12" s="45" t="s">
        <v>141</v>
      </c>
      <c r="G12" s="45" t="s">
        <v>142</v>
      </c>
      <c r="H12" s="43">
        <f t="shared" si="0"/>
        <v>1</v>
      </c>
      <c r="I12" s="43">
        <f t="shared" si="1"/>
        <v>1</v>
      </c>
      <c r="J12" s="43" t="str">
        <f t="shared" si="2"/>
        <v>OK</v>
      </c>
    </row>
    <row r="13" spans="1:10" ht="30" customHeight="1" x14ac:dyDescent="0.25">
      <c r="A13" s="43">
        <v>9</v>
      </c>
      <c r="B13" s="44" t="s">
        <v>151</v>
      </c>
      <c r="C13" s="45" t="s">
        <v>143</v>
      </c>
      <c r="D13" s="45" t="s">
        <v>142</v>
      </c>
      <c r="E13" s="45" t="s">
        <v>143</v>
      </c>
      <c r="F13" s="45" t="s">
        <v>141</v>
      </c>
      <c r="G13" s="45" t="s">
        <v>143</v>
      </c>
      <c r="H13" s="43">
        <f t="shared" si="0"/>
        <v>1</v>
      </c>
      <c r="I13" s="43">
        <f t="shared" si="1"/>
        <v>1</v>
      </c>
      <c r="J13" s="43" t="str">
        <f t="shared" si="2"/>
        <v>OK</v>
      </c>
    </row>
    <row r="14" spans="1:10" ht="30" customHeight="1" x14ac:dyDescent="0.25">
      <c r="A14" s="43">
        <v>10</v>
      </c>
      <c r="B14" s="44" t="s">
        <v>152</v>
      </c>
      <c r="C14" s="45" t="s">
        <v>142</v>
      </c>
      <c r="D14" s="45" t="s">
        <v>142</v>
      </c>
      <c r="E14" s="45" t="s">
        <v>143</v>
      </c>
      <c r="F14" s="45" t="s">
        <v>141</v>
      </c>
      <c r="G14" s="45" t="s">
        <v>142</v>
      </c>
      <c r="H14" s="43">
        <f t="shared" si="0"/>
        <v>1</v>
      </c>
      <c r="I14" s="43">
        <f t="shared" si="1"/>
        <v>1</v>
      </c>
      <c r="J14" s="43" t="str">
        <f t="shared" si="2"/>
        <v>OK</v>
      </c>
    </row>
    <row r="15" spans="1:10" ht="30" customHeight="1" x14ac:dyDescent="0.25">
      <c r="A15" s="43">
        <v>11</v>
      </c>
      <c r="B15" s="44" t="s">
        <v>153</v>
      </c>
      <c r="C15" s="45" t="s">
        <v>142</v>
      </c>
      <c r="D15" s="45" t="s">
        <v>142</v>
      </c>
      <c r="E15" s="45" t="s">
        <v>142</v>
      </c>
      <c r="F15" s="45" t="s">
        <v>141</v>
      </c>
      <c r="G15" s="45" t="s">
        <v>143</v>
      </c>
      <c r="H15" s="43">
        <f t="shared" si="0"/>
        <v>1</v>
      </c>
      <c r="I15" s="43">
        <f t="shared" si="1"/>
        <v>1</v>
      </c>
      <c r="J15" s="43" t="str">
        <f t="shared" si="2"/>
        <v>OK</v>
      </c>
    </row>
    <row r="16" spans="1:10" ht="30" customHeight="1" x14ac:dyDescent="0.25">
      <c r="A16" s="43">
        <v>12</v>
      </c>
      <c r="B16" s="44" t="s">
        <v>154</v>
      </c>
      <c r="C16" s="45" t="s">
        <v>142</v>
      </c>
      <c r="D16" s="45" t="s">
        <v>142</v>
      </c>
      <c r="E16" s="45" t="s">
        <v>143</v>
      </c>
      <c r="F16" s="45" t="s">
        <v>141</v>
      </c>
      <c r="G16" s="45" t="s">
        <v>142</v>
      </c>
      <c r="H16" s="43">
        <f t="shared" si="0"/>
        <v>1</v>
      </c>
      <c r="I16" s="43">
        <f t="shared" si="1"/>
        <v>1</v>
      </c>
      <c r="J16" s="43" t="str">
        <f t="shared" si="2"/>
        <v>OK</v>
      </c>
    </row>
    <row r="17" spans="1:10" ht="30" customHeight="1" x14ac:dyDescent="0.25">
      <c r="A17" s="43">
        <v>13</v>
      </c>
      <c r="B17" s="44" t="s">
        <v>155</v>
      </c>
      <c r="C17" s="45" t="s">
        <v>156</v>
      </c>
      <c r="D17" s="45" t="s">
        <v>142</v>
      </c>
      <c r="E17" s="45" t="s">
        <v>142</v>
      </c>
      <c r="F17" s="45" t="s">
        <v>144</v>
      </c>
      <c r="G17" s="45" t="s">
        <v>142</v>
      </c>
      <c r="H17" s="43">
        <f t="shared" si="0"/>
        <v>1</v>
      </c>
      <c r="I17" s="43">
        <f t="shared" si="1"/>
        <v>1</v>
      </c>
      <c r="J17" s="43" t="str">
        <f t="shared" si="2"/>
        <v>OK</v>
      </c>
    </row>
    <row r="18" spans="1:10" ht="30" customHeight="1" x14ac:dyDescent="0.25">
      <c r="A18" s="43">
        <v>14</v>
      </c>
      <c r="B18" s="44" t="s">
        <v>157</v>
      </c>
      <c r="C18" s="45" t="s">
        <v>156</v>
      </c>
      <c r="D18" s="45" t="s">
        <v>144</v>
      </c>
      <c r="E18" s="45" t="s">
        <v>143</v>
      </c>
      <c r="F18" s="45" t="s">
        <v>143</v>
      </c>
      <c r="G18" s="45" t="s">
        <v>143</v>
      </c>
      <c r="H18" s="43">
        <f t="shared" si="0"/>
        <v>1</v>
      </c>
      <c r="I18" s="43">
        <f t="shared" si="1"/>
        <v>1</v>
      </c>
      <c r="J18" s="43" t="str">
        <f t="shared" si="2"/>
        <v>OK</v>
      </c>
    </row>
    <row r="19" spans="1:10" ht="30" customHeight="1" x14ac:dyDescent="0.25">
      <c r="A19" s="43">
        <v>15</v>
      </c>
      <c r="B19" s="44" t="s">
        <v>158</v>
      </c>
      <c r="C19" s="45" t="s">
        <v>141</v>
      </c>
      <c r="D19" s="45" t="s">
        <v>143</v>
      </c>
      <c r="E19" s="45" t="s">
        <v>143</v>
      </c>
      <c r="F19" s="45" t="s">
        <v>143</v>
      </c>
      <c r="G19" s="45" t="s">
        <v>143</v>
      </c>
      <c r="H19" s="43">
        <f t="shared" si="0"/>
        <v>1</v>
      </c>
      <c r="I19" s="43">
        <f t="shared" si="1"/>
        <v>1</v>
      </c>
      <c r="J19" s="43" t="str">
        <f t="shared" si="2"/>
        <v>OK</v>
      </c>
    </row>
    <row r="20" spans="1:10" ht="30" customHeight="1" x14ac:dyDescent="0.25">
      <c r="A20" s="43">
        <v>16</v>
      </c>
      <c r="B20" s="44" t="s">
        <v>159</v>
      </c>
      <c r="C20" s="45" t="s">
        <v>141</v>
      </c>
      <c r="D20" s="45" t="s">
        <v>144</v>
      </c>
      <c r="E20" s="45" t="s">
        <v>144</v>
      </c>
      <c r="F20" s="45" t="s">
        <v>144</v>
      </c>
      <c r="G20" s="45" t="s">
        <v>144</v>
      </c>
      <c r="H20" s="43">
        <f t="shared" si="0"/>
        <v>1</v>
      </c>
      <c r="I20" s="43">
        <f t="shared" si="1"/>
        <v>5</v>
      </c>
      <c r="J20" s="43" t="str">
        <f t="shared" si="2"/>
        <v>OK</v>
      </c>
    </row>
    <row r="21" spans="1:10" ht="30" customHeight="1" x14ac:dyDescent="0.25">
      <c r="A21" s="43">
        <v>17</v>
      </c>
      <c r="B21" s="44" t="s">
        <v>160</v>
      </c>
      <c r="C21" s="45" t="s">
        <v>141</v>
      </c>
      <c r="D21" s="45" t="s">
        <v>143</v>
      </c>
      <c r="E21" s="45" t="s">
        <v>143</v>
      </c>
      <c r="F21" s="45" t="s">
        <v>143</v>
      </c>
      <c r="G21" s="45" t="s">
        <v>143</v>
      </c>
      <c r="H21" s="43">
        <f t="shared" si="0"/>
        <v>1</v>
      </c>
      <c r="I21" s="43">
        <f t="shared" si="1"/>
        <v>1</v>
      </c>
      <c r="J21" s="43" t="str">
        <f t="shared" si="2"/>
        <v>OK</v>
      </c>
    </row>
    <row r="22" spans="1:10" ht="30" customHeight="1" x14ac:dyDescent="0.25">
      <c r="A22" s="43">
        <v>18</v>
      </c>
      <c r="B22" s="44" t="s">
        <v>161</v>
      </c>
      <c r="C22" s="45" t="s">
        <v>156</v>
      </c>
      <c r="D22" s="45" t="s">
        <v>144</v>
      </c>
      <c r="E22" s="45" t="s">
        <v>144</v>
      </c>
      <c r="F22" s="45" t="s">
        <v>144</v>
      </c>
      <c r="G22" s="45" t="s">
        <v>144</v>
      </c>
      <c r="H22" s="43">
        <f t="shared" si="0"/>
        <v>1</v>
      </c>
      <c r="I22" s="43">
        <f t="shared" si="1"/>
        <v>4</v>
      </c>
      <c r="J22" s="43" t="str">
        <f t="shared" si="2"/>
        <v>OK</v>
      </c>
    </row>
    <row r="23" spans="1:10" ht="30" customHeight="1" x14ac:dyDescent="0.25">
      <c r="A23" s="43">
        <v>19</v>
      </c>
      <c r="B23" s="44" t="s">
        <v>162</v>
      </c>
      <c r="C23" s="45" t="s">
        <v>141</v>
      </c>
      <c r="D23" s="45" t="s">
        <v>144</v>
      </c>
      <c r="E23" s="45" t="s">
        <v>144</v>
      </c>
      <c r="F23" s="45" t="s">
        <v>144</v>
      </c>
      <c r="G23" s="45" t="s">
        <v>144</v>
      </c>
      <c r="H23" s="43">
        <f t="shared" si="0"/>
        <v>1</v>
      </c>
      <c r="I23" s="43">
        <f t="shared" si="1"/>
        <v>5</v>
      </c>
      <c r="J23" s="43" t="str">
        <f t="shared" si="2"/>
        <v>OK</v>
      </c>
    </row>
    <row r="24" spans="1:10" x14ac:dyDescent="0.25">
      <c r="B24" s="46" t="s">
        <v>163</v>
      </c>
      <c r="C24" s="47">
        <f>COUNTIF(C5:C23,"*R*")</f>
        <v>5</v>
      </c>
      <c r="D24" s="47">
        <f>COUNTIF(D5:D23,"*R*")</f>
        <v>7</v>
      </c>
      <c r="E24" s="47">
        <f>COUNTIF(E5:E23,"*R*")</f>
        <v>6</v>
      </c>
      <c r="F24" s="47">
        <f>COUNTIF(F5:F23,"*R*")</f>
        <v>9</v>
      </c>
      <c r="G24" s="47">
        <f>COUNTIF(G5:G23,"*R*")</f>
        <v>4</v>
      </c>
    </row>
    <row r="25" spans="1:10" x14ac:dyDescent="0.25">
      <c r="B25" s="46" t="s">
        <v>164</v>
      </c>
      <c r="C25" s="47">
        <f>COUNTIF(C5:C23,"A*")</f>
        <v>8</v>
      </c>
      <c r="D25" s="47">
        <f>COUNTIF(D5:D23,"A*")</f>
        <v>3</v>
      </c>
      <c r="E25" s="47">
        <f>COUNTIF(E5:E23,"A*")</f>
        <v>3</v>
      </c>
      <c r="F25" s="47">
        <f>COUNTIF(F5:F23,"A*")</f>
        <v>5</v>
      </c>
      <c r="G25" s="47">
        <f>COUNTIF(G5:G23,"A*")</f>
        <v>0</v>
      </c>
    </row>
    <row r="27" spans="1:10" x14ac:dyDescent="0.25">
      <c r="B27" s="48" t="s">
        <v>165</v>
      </c>
    </row>
    <row r="28" spans="1:10" x14ac:dyDescent="0.25">
      <c r="A28" s="49" t="s">
        <v>141</v>
      </c>
      <c r="B28" s="50" t="s">
        <v>166</v>
      </c>
    </row>
    <row r="29" spans="1:10" x14ac:dyDescent="0.25">
      <c r="A29" s="51" t="s">
        <v>156</v>
      </c>
      <c r="B29" s="50" t="s">
        <v>167</v>
      </c>
    </row>
    <row r="30" spans="1:10" x14ac:dyDescent="0.25">
      <c r="A30" s="52" t="s">
        <v>144</v>
      </c>
      <c r="B30" s="50" t="s">
        <v>168</v>
      </c>
    </row>
    <row r="31" spans="1:10" x14ac:dyDescent="0.25">
      <c r="A31" s="53" t="s">
        <v>143</v>
      </c>
      <c r="B31" s="50" t="s">
        <v>169</v>
      </c>
    </row>
    <row r="32" spans="1:10" x14ac:dyDescent="0.25">
      <c r="A32" s="54" t="s">
        <v>142</v>
      </c>
      <c r="B32" s="50" t="s">
        <v>170</v>
      </c>
    </row>
    <row r="34" spans="2:10" ht="42" customHeight="1" x14ac:dyDescent="0.25">
      <c r="B34" s="1"/>
      <c r="C34" s="1"/>
      <c r="D34" s="1"/>
      <c r="E34" s="1"/>
      <c r="F34" s="1"/>
      <c r="G34" s="1"/>
      <c r="H34" s="1"/>
      <c r="I34" s="1"/>
      <c r="J34" s="1"/>
    </row>
  </sheetData>
  <mergeCells count="1">
    <mergeCell ref="B34:J34"/>
  </mergeCells>
  <conditionalFormatting sqref="C5:G23">
    <cfRule type="cellIs" dxfId="5" priority="2" operator="equal">
      <formula>"A/R"</formula>
    </cfRule>
    <cfRule type="cellIs" dxfId="4" priority="3" operator="equal">
      <formula>"A"</formula>
    </cfRule>
    <cfRule type="cellIs" dxfId="3" priority="4" operator="equal">
      <formula>"R"</formula>
    </cfRule>
    <cfRule type="cellIs" dxfId="2" priority="5" operator="equal">
      <formula>"C"</formula>
    </cfRule>
    <cfRule type="cellIs" dxfId="1" priority="6" operator="equal">
      <formula>"I"</formula>
    </cfRule>
  </conditionalFormatting>
  <conditionalFormatting sqref="J5:J23">
    <cfRule type="cellIs" dxfId="0" priority="7" operator="equal">
      <formula>"Revisar"</formula>
    </cfRule>
  </conditionalFormatting>
  <dataValidations count="1">
    <dataValidation type="list" allowBlank="1" showErrorMessage="1" errorTitle="Valor no válido" error="Usa R, A, A/R, C o I." sqref="C5:G23" xr:uid="{00000000-0002-0000-0200-000000000000}">
      <formula1>"R,A,A/R,C,I"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8"/>
  <sheetViews>
    <sheetView zoomScaleNormal="100" workbookViewId="0">
      <pane ySplit="1" topLeftCell="A2" activePane="bottomLeft" state="frozen"/>
      <selection pane="bottomLeft" activeCell="A28" sqref="A28"/>
    </sheetView>
  </sheetViews>
  <sheetFormatPr baseColWidth="10" defaultColWidth="8.7109375" defaultRowHeight="15" x14ac:dyDescent="0.25"/>
  <cols>
    <col min="1" max="1" width="22" style="2" customWidth="1"/>
    <col min="2" max="2" width="36" style="2" customWidth="1"/>
    <col min="3" max="3" width="62" style="2" customWidth="1"/>
    <col min="4" max="5" width="14" style="2" customWidth="1"/>
  </cols>
  <sheetData>
    <row r="1" spans="1:5" ht="15" customHeight="1" x14ac:dyDescent="0.25">
      <c r="A1" s="31" t="s">
        <v>104</v>
      </c>
      <c r="B1" s="31" t="s">
        <v>105</v>
      </c>
      <c r="C1" s="31" t="s">
        <v>3</v>
      </c>
      <c r="D1" s="31" t="s">
        <v>5</v>
      </c>
      <c r="E1" s="31" t="s">
        <v>171</v>
      </c>
    </row>
    <row r="2" spans="1:5" ht="15" customHeight="1" x14ac:dyDescent="0.25">
      <c r="A2" s="32" t="s">
        <v>26</v>
      </c>
      <c r="B2" s="33" t="s">
        <v>110</v>
      </c>
      <c r="C2" s="33" t="s">
        <v>172</v>
      </c>
      <c r="D2" s="33" t="s">
        <v>173</v>
      </c>
      <c r="E2" s="33" t="s">
        <v>174</v>
      </c>
    </row>
    <row r="3" spans="1:5" ht="15" customHeight="1" x14ac:dyDescent="0.25">
      <c r="A3" s="32" t="s">
        <v>26</v>
      </c>
      <c r="B3" s="33" t="s">
        <v>110</v>
      </c>
      <c r="C3" s="33" t="s">
        <v>175</v>
      </c>
      <c r="D3" s="33" t="s">
        <v>173</v>
      </c>
      <c r="E3" s="33" t="s">
        <v>174</v>
      </c>
    </row>
    <row r="4" spans="1:5" ht="15" customHeight="1" x14ac:dyDescent="0.25">
      <c r="A4" s="32" t="s">
        <v>26</v>
      </c>
      <c r="B4" s="33" t="s">
        <v>110</v>
      </c>
      <c r="C4" s="33" t="s">
        <v>176</v>
      </c>
      <c r="D4" s="33" t="s">
        <v>173</v>
      </c>
      <c r="E4" s="33" t="s">
        <v>174</v>
      </c>
    </row>
    <row r="5" spans="1:5" ht="15" customHeight="1" x14ac:dyDescent="0.25">
      <c r="A5" s="32" t="s">
        <v>26</v>
      </c>
      <c r="B5" s="33" t="s">
        <v>110</v>
      </c>
      <c r="C5" s="33" t="s">
        <v>83</v>
      </c>
      <c r="D5" s="33" t="s">
        <v>57</v>
      </c>
      <c r="E5" s="33" t="s">
        <v>174</v>
      </c>
    </row>
    <row r="6" spans="1:5" ht="15" customHeight="1" x14ac:dyDescent="0.25">
      <c r="A6" s="32" t="s">
        <v>26</v>
      </c>
      <c r="B6" s="33" t="s">
        <v>110</v>
      </c>
      <c r="C6" s="33" t="s">
        <v>177</v>
      </c>
      <c r="D6" s="33" t="s">
        <v>57</v>
      </c>
      <c r="E6" s="33" t="s">
        <v>174</v>
      </c>
    </row>
    <row r="7" spans="1:5" ht="15" customHeight="1" x14ac:dyDescent="0.25">
      <c r="A7" s="35" t="s">
        <v>16</v>
      </c>
      <c r="B7" s="33" t="s">
        <v>114</v>
      </c>
      <c r="C7" s="33" t="s">
        <v>178</v>
      </c>
      <c r="D7" s="33" t="s">
        <v>13</v>
      </c>
      <c r="E7" s="33" t="s">
        <v>174</v>
      </c>
    </row>
    <row r="8" spans="1:5" ht="15" customHeight="1" x14ac:dyDescent="0.25">
      <c r="A8" s="35" t="s">
        <v>16</v>
      </c>
      <c r="B8" s="33" t="s">
        <v>114</v>
      </c>
      <c r="C8" s="33" t="s">
        <v>179</v>
      </c>
      <c r="D8" s="33" t="s">
        <v>13</v>
      </c>
      <c r="E8" s="33" t="s">
        <v>174</v>
      </c>
    </row>
    <row r="9" spans="1:5" ht="15" customHeight="1" x14ac:dyDescent="0.25">
      <c r="A9" s="35" t="s">
        <v>16</v>
      </c>
      <c r="B9" s="33" t="s">
        <v>114</v>
      </c>
      <c r="C9" s="33" t="s">
        <v>180</v>
      </c>
      <c r="D9" s="33" t="s">
        <v>13</v>
      </c>
      <c r="E9" s="33" t="s">
        <v>174</v>
      </c>
    </row>
    <row r="10" spans="1:5" ht="15" customHeight="1" x14ac:dyDescent="0.25">
      <c r="A10" s="35" t="s">
        <v>16</v>
      </c>
      <c r="B10" s="33" t="s">
        <v>114</v>
      </c>
      <c r="C10" s="33" t="s">
        <v>30</v>
      </c>
      <c r="D10" s="33" t="s">
        <v>13</v>
      </c>
      <c r="E10" s="33" t="s">
        <v>174</v>
      </c>
    </row>
    <row r="11" spans="1:5" ht="15" customHeight="1" x14ac:dyDescent="0.25">
      <c r="A11" s="35" t="s">
        <v>16</v>
      </c>
      <c r="B11" s="33" t="s">
        <v>114</v>
      </c>
      <c r="C11" s="33" t="s">
        <v>181</v>
      </c>
      <c r="D11" s="33" t="s">
        <v>182</v>
      </c>
      <c r="E11" s="33" t="s">
        <v>174</v>
      </c>
    </row>
    <row r="12" spans="1:5" ht="15" customHeight="1" x14ac:dyDescent="0.25">
      <c r="A12" s="36" t="s">
        <v>33</v>
      </c>
      <c r="B12" s="33" t="s">
        <v>117</v>
      </c>
      <c r="C12" s="33" t="s">
        <v>183</v>
      </c>
      <c r="D12" s="33" t="s">
        <v>13</v>
      </c>
      <c r="E12" s="33" t="s">
        <v>174</v>
      </c>
    </row>
    <row r="13" spans="1:5" ht="15" customHeight="1" x14ac:dyDescent="0.25">
      <c r="A13" s="36" t="s">
        <v>33</v>
      </c>
      <c r="B13" s="33" t="s">
        <v>117</v>
      </c>
      <c r="C13" s="33" t="s">
        <v>35</v>
      </c>
      <c r="D13" s="33" t="s">
        <v>13</v>
      </c>
      <c r="E13" s="33" t="s">
        <v>174</v>
      </c>
    </row>
    <row r="14" spans="1:5" ht="15" customHeight="1" x14ac:dyDescent="0.25">
      <c r="A14" s="36" t="s">
        <v>33</v>
      </c>
      <c r="B14" s="33" t="s">
        <v>117</v>
      </c>
      <c r="C14" s="33" t="s">
        <v>62</v>
      </c>
      <c r="D14" s="33" t="s">
        <v>57</v>
      </c>
      <c r="E14" s="33" t="s">
        <v>174</v>
      </c>
    </row>
    <row r="15" spans="1:5" ht="15" customHeight="1" x14ac:dyDescent="0.25">
      <c r="A15" s="36" t="s">
        <v>33</v>
      </c>
      <c r="B15" s="33" t="s">
        <v>117</v>
      </c>
      <c r="C15" s="33" t="s">
        <v>184</v>
      </c>
      <c r="D15" s="33" t="s">
        <v>57</v>
      </c>
      <c r="E15" s="33" t="s">
        <v>174</v>
      </c>
    </row>
    <row r="16" spans="1:5" ht="15" customHeight="1" x14ac:dyDescent="0.25">
      <c r="A16" s="36" t="s">
        <v>33</v>
      </c>
      <c r="B16" s="33" t="s">
        <v>117</v>
      </c>
      <c r="C16" s="33" t="s">
        <v>185</v>
      </c>
      <c r="D16" s="33" t="s">
        <v>57</v>
      </c>
      <c r="E16" s="33" t="s">
        <v>174</v>
      </c>
    </row>
    <row r="17" spans="1:5" ht="15" customHeight="1" x14ac:dyDescent="0.25">
      <c r="A17" s="37" t="s">
        <v>23</v>
      </c>
      <c r="B17" s="33" t="s">
        <v>121</v>
      </c>
      <c r="C17" s="33" t="s">
        <v>44</v>
      </c>
      <c r="D17" s="33" t="s">
        <v>38</v>
      </c>
      <c r="E17" s="33" t="s">
        <v>174</v>
      </c>
    </row>
    <row r="18" spans="1:5" ht="15" customHeight="1" x14ac:dyDescent="0.25">
      <c r="A18" s="37" t="s">
        <v>23</v>
      </c>
      <c r="B18" s="33" t="s">
        <v>121</v>
      </c>
      <c r="C18" s="33" t="s">
        <v>42</v>
      </c>
      <c r="D18" s="33" t="s">
        <v>38</v>
      </c>
      <c r="E18" s="33" t="s">
        <v>174</v>
      </c>
    </row>
    <row r="19" spans="1:5" ht="15" customHeight="1" x14ac:dyDescent="0.25">
      <c r="A19" s="37" t="s">
        <v>23</v>
      </c>
      <c r="B19" s="33" t="s">
        <v>121</v>
      </c>
      <c r="C19" s="33" t="s">
        <v>186</v>
      </c>
      <c r="D19" s="33" t="s">
        <v>38</v>
      </c>
      <c r="E19" s="33" t="s">
        <v>174</v>
      </c>
    </row>
    <row r="20" spans="1:5" ht="15" customHeight="1" x14ac:dyDescent="0.25">
      <c r="A20" s="37" t="s">
        <v>23</v>
      </c>
      <c r="B20" s="33" t="s">
        <v>121</v>
      </c>
      <c r="C20" s="33" t="s">
        <v>187</v>
      </c>
      <c r="D20" s="33" t="s">
        <v>57</v>
      </c>
      <c r="E20" s="33" t="s">
        <v>174</v>
      </c>
    </row>
    <row r="21" spans="1:5" ht="15" customHeight="1" x14ac:dyDescent="0.25">
      <c r="A21" s="37" t="s">
        <v>23</v>
      </c>
      <c r="B21" s="33" t="s">
        <v>121</v>
      </c>
      <c r="C21" s="33" t="s">
        <v>188</v>
      </c>
      <c r="D21" s="33" t="s">
        <v>57</v>
      </c>
      <c r="E21" s="33" t="s">
        <v>174</v>
      </c>
    </row>
    <row r="22" spans="1:5" ht="15" customHeight="1" x14ac:dyDescent="0.25">
      <c r="A22" s="38" t="s">
        <v>20</v>
      </c>
      <c r="B22" s="33" t="s">
        <v>125</v>
      </c>
      <c r="C22" s="33" t="s">
        <v>189</v>
      </c>
      <c r="D22" s="33" t="s">
        <v>38</v>
      </c>
      <c r="E22" s="33" t="s">
        <v>174</v>
      </c>
    </row>
    <row r="23" spans="1:5" ht="15" customHeight="1" x14ac:dyDescent="0.25">
      <c r="A23" s="38" t="s">
        <v>20</v>
      </c>
      <c r="B23" s="33" t="s">
        <v>125</v>
      </c>
      <c r="C23" s="33" t="s">
        <v>50</v>
      </c>
      <c r="D23" s="33" t="s">
        <v>38</v>
      </c>
      <c r="E23" s="33" t="s">
        <v>174</v>
      </c>
    </row>
    <row r="24" spans="1:5" ht="15" customHeight="1" x14ac:dyDescent="0.25">
      <c r="A24" s="38" t="s">
        <v>20</v>
      </c>
      <c r="B24" s="33" t="s">
        <v>125</v>
      </c>
      <c r="C24" s="33" t="s">
        <v>52</v>
      </c>
      <c r="D24" s="33" t="s">
        <v>38</v>
      </c>
      <c r="E24" s="33" t="s">
        <v>174</v>
      </c>
    </row>
    <row r="25" spans="1:5" ht="15" customHeight="1" x14ac:dyDescent="0.25">
      <c r="A25" s="38" t="s">
        <v>20</v>
      </c>
      <c r="B25" s="33" t="s">
        <v>125</v>
      </c>
      <c r="C25" s="33" t="s">
        <v>54</v>
      </c>
      <c r="D25" s="33" t="s">
        <v>38</v>
      </c>
      <c r="E25" s="33" t="s">
        <v>174</v>
      </c>
    </row>
    <row r="26" spans="1:5" ht="15" customHeight="1" x14ac:dyDescent="0.25">
      <c r="A26" s="38" t="s">
        <v>20</v>
      </c>
      <c r="B26" s="33" t="s">
        <v>125</v>
      </c>
      <c r="C26" s="33" t="s">
        <v>190</v>
      </c>
      <c r="D26" s="33" t="s">
        <v>57</v>
      </c>
      <c r="E26" s="33" t="s">
        <v>174</v>
      </c>
    </row>
    <row r="28" spans="1:5" ht="15" customHeight="1" x14ac:dyDescent="0.25">
      <c r="A28" s="6"/>
    </row>
  </sheetData>
  <autoFilter ref="A1:E26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Gantt</vt:lpstr>
      <vt:lpstr>Roles</vt:lpstr>
      <vt:lpstr>RACI</vt:lpstr>
      <vt:lpstr>Responsabilidades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PN-Alumno</cp:lastModifiedBy>
  <cp:revision>0</cp:revision>
  <dcterms:created xsi:type="dcterms:W3CDTF">2026-10-14T23:52:19Z</dcterms:created>
  <dcterms:modified xsi:type="dcterms:W3CDTF">2026-10-15T00:27:09Z</dcterms:modified>
  <dc:language>en-US</dc:language>
</cp:coreProperties>
</file>