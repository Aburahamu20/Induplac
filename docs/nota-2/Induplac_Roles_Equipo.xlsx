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Gantt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RACI" sheetId="3" state="visible" r:id="rId3"/>
    <sheet xmlns:r="http://schemas.openxmlformats.org/officeDocument/2006/relationships" name="Responsabilidades" sheetId="4" state="visible" r:id="rId4"/>
  </sheets>
  <definedNames>
    <definedName name="_xlnm._FilterDatabase" localSheetId="3" hidden="1">'Responsabilidades'!$A$1:$E$26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dd\-mmm\-yy"/>
    <numFmt numFmtId="165" formatCode="dd\-mmm"/>
    <numFmt numFmtId="166" formatCode="\S0"/>
  </numFmts>
  <fonts count="20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b val="1"/>
      <sz val="10"/>
    </font>
    <font>
      <name val="Arial"/>
      <charset val="1"/>
      <b val="1"/>
      <color rgb="FF0000FF"/>
      <sz val="11"/>
    </font>
    <font>
      <name val="Arial"/>
      <charset val="1"/>
      <i val="1"/>
      <color rgb="FF595959"/>
      <sz val="9"/>
    </font>
    <font>
      <name val="Arial"/>
      <charset val="1"/>
      <color rgb="FFFFFFFF"/>
      <sz val="8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9"/>
    </font>
    <font>
      <name val="Arial"/>
      <charset val="1"/>
      <color rgb="FF000000"/>
      <sz val="10"/>
    </font>
    <font>
      <name val="Arial"/>
      <charset val="1"/>
      <b val="1"/>
      <color rgb="FF548235"/>
      <sz val="10"/>
    </font>
    <font>
      <name val="Arial"/>
      <charset val="1"/>
      <color rgb="FF0000FF"/>
      <sz val="10"/>
    </font>
    <font>
      <name val="Arial"/>
      <charset val="1"/>
      <b val="1"/>
      <color rgb="FF7030A0"/>
      <sz val="10"/>
    </font>
    <font>
      <name val="Arial"/>
      <charset val="1"/>
      <b val="1"/>
      <color rgb="FFC55A11"/>
      <sz val="10"/>
    </font>
    <font>
      <name val="Arial"/>
      <charset val="1"/>
      <b val="1"/>
      <color rgb="FF2F75B5"/>
      <sz val="10"/>
    </font>
    <font>
      <name val="Arial"/>
      <charset val="1"/>
      <b val="1"/>
      <color rgb="FFBF9000"/>
      <sz val="10"/>
    </font>
    <font>
      <name val="Arial"/>
      <charset val="1"/>
      <b val="1"/>
      <color rgb="FFC00000"/>
      <sz val="10"/>
    </font>
    <font>
      <name val="Arial"/>
      <charset val="1"/>
      <i val="1"/>
      <color rgb="FF595959"/>
      <sz val="10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color rgb="FF000000"/>
      <sz val="11"/>
    </font>
  </fonts>
  <fills count="1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D9D9"/>
        <bgColor rgb="FFEADCF4"/>
      </patternFill>
    </fill>
    <fill>
      <patternFill patternType="solid">
        <fgColor rgb="FF2F75B5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BF9000"/>
        <bgColor rgb="FFC55A11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DCF4"/>
        <bgColor rgb="FFE7E6E6"/>
      </patternFill>
    </fill>
    <fill>
      <patternFill patternType="solid">
        <fgColor rgb="FF70AD47"/>
        <bgColor rgb="FF548235"/>
      </patternFill>
    </fill>
    <fill>
      <patternFill patternType="solid">
        <fgColor rgb="FFFFE699"/>
        <bgColor rgb="FFFFF2CC"/>
      </patternFill>
    </fill>
    <fill>
      <patternFill patternType="solid">
        <fgColor rgb="FFE7E6E6"/>
        <b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165" fontId="5" fillId="3" borderId="0" applyAlignment="1" pivotButton="0" quotePrefix="0" xfId="0">
      <alignment horizontal="center" textRotation="90"/>
    </xf>
    <xf numFmtId="0" fontId="6" fillId="3" borderId="1" applyAlignment="1" pivotButton="0" quotePrefix="0" xfId="0">
      <alignment horizontal="center" vertical="center" wrapText="1"/>
    </xf>
    <xf numFmtId="166" fontId="7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164" fontId="2" fillId="4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1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15" fillId="0" borderId="1" pivotButton="0" quotePrefix="0" xfId="0"/>
    <xf numFmtId="0" fontId="6" fillId="5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10" borderId="0" pivotButton="0" quotePrefix="0" xfId="0"/>
    <xf numFmtId="0" fontId="16" fillId="0" borderId="0" pivotButton="0" quotePrefix="0" xfId="0"/>
    <xf numFmtId="0" fontId="17" fillId="3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vertical="top" wrapText="1"/>
    </xf>
    <xf numFmtId="0" fontId="18" fillId="0" borderId="2" applyAlignment="1" pivotButton="0" quotePrefix="0" xfId="0">
      <alignment vertical="top" wrapText="1"/>
    </xf>
    <xf numFmtId="0" fontId="18" fillId="0" borderId="2" applyAlignment="1" pivotButton="0" quotePrefix="0" xfId="0">
      <alignment horizontal="center" vertical="top"/>
    </xf>
    <xf numFmtId="0" fontId="2" fillId="12" borderId="2" applyAlignment="1" pivotButton="0" quotePrefix="0" xfId="0">
      <alignment vertical="top" wrapText="1"/>
    </xf>
    <xf numFmtId="0" fontId="2" fillId="13" borderId="2" applyAlignment="1" pivotButton="0" quotePrefix="0" xfId="0">
      <alignment vertical="top" wrapText="1"/>
    </xf>
    <xf numFmtId="0" fontId="2" fillId="14" borderId="2" applyAlignment="1" pivotButton="0" quotePrefix="0" xfId="0">
      <alignment vertical="top" wrapText="1"/>
    </xf>
    <xf numFmtId="0" fontId="2" fillId="15" borderId="2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4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/>
    </xf>
    <xf numFmtId="0" fontId="2" fillId="4" borderId="2" pivotButton="0" quotePrefix="0" xfId="0"/>
    <xf numFmtId="0" fontId="2" fillId="4" borderId="2" applyAlignment="1" pivotButton="0" quotePrefix="0" xfId="0">
      <alignment horizontal="center"/>
    </xf>
    <xf numFmtId="0" fontId="2" fillId="0" borderId="0" pivotButton="0" quotePrefix="0" xfId="0"/>
    <xf numFmtId="0" fontId="17" fillId="9" borderId="0" applyAlignment="1" pivotButton="0" quotePrefix="0" xfId="0">
      <alignment horizontal="center"/>
    </xf>
    <xf numFmtId="0" fontId="18" fillId="0" borderId="0" pivotButton="0" quotePrefix="0" xfId="0"/>
    <xf numFmtId="0" fontId="17" fillId="8" borderId="0" applyAlignment="1" pivotButton="0" quotePrefix="0" xfId="0">
      <alignment horizontal="center"/>
    </xf>
    <xf numFmtId="0" fontId="17" fillId="16" borderId="0" applyAlignment="1" pivotButton="0" quotePrefix="0" xfId="0">
      <alignment horizontal="center"/>
    </xf>
    <xf numFmtId="0" fontId="19" fillId="17" borderId="0" applyAlignment="1" pivotButton="0" quotePrefix="0" xfId="0">
      <alignment horizontal="center"/>
    </xf>
    <xf numFmtId="0" fontId="19" fillId="18" borderId="0" applyAlignment="1" pivotButton="0" quotePrefix="0" xfId="0">
      <alignment horizontal="center"/>
    </xf>
  </cellXfs>
  <cellStyles count="1">
    <cellStyle name="Normal" xfId="0" builtinId="0"/>
  </cellStyles>
  <dxfs count="14">
    <dxf>
      <fill>
        <patternFill>
          <bgColor rgb="FFFF9999"/>
        </patternFill>
      </fill>
    </dxf>
    <dxf>
      <font>
        <b val="1"/>
        <color rgb="FF000000"/>
      </font>
      <fill>
        <patternFill>
          <bgColor rgb="FFE7E6E6"/>
        </patternFill>
      </fill>
    </dxf>
    <dxf>
      <font>
        <b val="1"/>
        <color rgb="FF000000"/>
      </font>
      <fill>
        <patternFill>
          <bgColor rgb="FFFFE699"/>
        </patternFill>
      </fill>
    </dxf>
    <dxf>
      <font>
        <b val="1"/>
        <color rgb="FFFFFFFF"/>
      </font>
      <fill>
        <patternFill>
          <bgColor rgb="FF70AD47"/>
        </patternFill>
      </fill>
    </dxf>
    <dxf>
      <font>
        <b val="1"/>
        <color rgb="FFFFFFFF"/>
      </font>
      <fill>
        <patternFill>
          <bgColor rgb="FFC55A11"/>
        </patternFill>
      </fill>
    </dxf>
    <dxf>
      <font>
        <b val="1"/>
        <color rgb="FFFFFFFF"/>
      </font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C55A11"/>
        </patternFill>
      </fill>
    </dxf>
    <dxf>
      <fill>
        <patternFill>
          <bgColor rgb="FFBF9000"/>
        </patternFill>
      </fill>
    </dxf>
    <dxf>
      <fill>
        <patternFill>
          <bgColor rgb="FF548235"/>
        </patternFill>
      </fill>
    </dxf>
    <dxf>
      <fill>
        <patternFill>
          <bgColor rgb="FF2F75B5"/>
        </patternFill>
      </fill>
    </dxf>
    <dxf>
      <fill>
        <patternFill>
          <bgColor rgb="FF595959"/>
        </patternFill>
      </fill>
    </dxf>
    <dxf>
      <font>
        <b val="1"/>
        <color rgb="FF000000"/>
      </font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E699"/>
      <rgbColor rgb="FFEADCF4"/>
      <rgbColor rgb="FFFF9999"/>
      <rgbColor rgb="FFCC99FF"/>
      <rgbColor rgb="FFFCE4D6"/>
      <rgbColor rgb="FF2F75B5"/>
      <rgbColor rgb="FF33CCCC"/>
      <rgbColor rgb="FF99CC00"/>
      <rgbColor rgb="FFFFC000"/>
      <rgbColor rgb="FFBF9000"/>
      <rgbColor rgb="FFC55A1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54"/>
  <sheetViews>
    <sheetView showGridLines="0"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B44" sqref="B44"/>
    </sheetView>
  </sheetViews>
  <sheetFormatPr baseColWidth="10" defaultColWidth="8.7109375" defaultRowHeight="15"/>
  <cols>
    <col width="6" customWidth="1" style="2" min="1" max="1"/>
    <col width="52" customWidth="1" style="2" min="2" max="2"/>
    <col width="20" customWidth="1" style="2" min="3" max="3"/>
    <col width="13" customWidth="1" style="2" min="4" max="4"/>
    <col width="10" customWidth="1" style="2" min="5" max="5"/>
    <col width="11" customWidth="1" style="2" min="6" max="6"/>
    <col width="9" customWidth="1" style="2" min="7" max="7"/>
    <col width="12" customWidth="1" style="2" min="8" max="9"/>
    <col width="14" customWidth="1" style="2" min="10" max="10"/>
    <col width="5.5703125" customWidth="1" style="2" min="11" max="22"/>
  </cols>
  <sheetData>
    <row r="1" ht="17.25" customHeight="1" s="2">
      <c r="A1" s="40" t="inlineStr">
        <is>
          <t>Induplac IoT – Carta Gantt</t>
        </is>
      </c>
    </row>
    <row r="2" ht="15" customHeight="1" s="2">
      <c r="B2" s="48" t="inlineStr">
        <is>
          <t>Fecha de inicio (lunes de la semana 1):</t>
        </is>
      </c>
      <c r="C2" s="5" t="n">
        <v>46300</v>
      </c>
    </row>
    <row r="3" ht="15" customHeight="1" s="2">
      <c r="B3" s="41" t="inlineStr">
        <is>
          <t>S1–S3: desarrollo del MVP con Scrum (ya en ejecución) · S4–S12: implementación en Induplac con fases PMI hasta la puesta en marcha.</t>
        </is>
      </c>
    </row>
    <row r="5" ht="37.5" customHeight="1" s="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8">
        <f>$C$2+7*(K$6-1)</f>
        <v/>
      </c>
      <c r="L5" s="8">
        <f>$C$2+7*(L$6-1)</f>
        <v/>
      </c>
      <c r="M5" s="8">
        <f>$C$2+7*(M$6-1)</f>
        <v/>
      </c>
      <c r="N5" s="8">
        <f>$C$2+7*(N$6-1)</f>
        <v/>
      </c>
      <c r="O5" s="8">
        <f>$C$2+7*(O$6-1)</f>
        <v/>
      </c>
      <c r="P5" s="8">
        <f>$C$2+7*(P$6-1)</f>
        <v/>
      </c>
      <c r="Q5" s="8">
        <f>$C$2+7*(Q$6-1)</f>
        <v/>
      </c>
      <c r="R5" s="8">
        <f>$C$2+7*(R$6-1)</f>
        <v/>
      </c>
      <c r="S5" s="8">
        <f>$C$2+7*(S$6-1)</f>
        <v/>
      </c>
      <c r="T5" s="8">
        <f>$C$2+7*(T$6-1)</f>
        <v/>
      </c>
      <c r="U5" s="8">
        <f>$C$2+7*(U$6-1)</f>
        <v/>
      </c>
      <c r="V5" s="8">
        <f>$C$2+7*(V$6-1)</f>
        <v/>
      </c>
    </row>
    <row r="6" ht="30" customHeight="1" s="2">
      <c r="A6" s="9" t="inlineStr">
        <is>
          <t>ID</t>
        </is>
      </c>
      <c r="B6" s="9" t="inlineStr">
        <is>
          <t>Tarea</t>
        </is>
      </c>
      <c r="C6" s="9" t="inlineStr">
        <is>
          <t>Responsable</t>
        </is>
      </c>
      <c r="D6" s="9" t="inlineStr">
        <is>
          <t>Sprint / Fase PMI</t>
        </is>
      </c>
      <c r="E6" s="9" t="inlineStr">
        <is>
          <t>Sem. inicio</t>
        </is>
      </c>
      <c r="F6" s="9" t="inlineStr">
        <is>
          <t>Duración (sem)</t>
        </is>
      </c>
      <c r="G6" s="9" t="inlineStr">
        <is>
          <t>Sem. fin</t>
        </is>
      </c>
      <c r="H6" s="9" t="inlineStr">
        <is>
          <t>Fecha inicio</t>
        </is>
      </c>
      <c r="I6" s="9" t="inlineStr">
        <is>
          <t>Fecha fin</t>
        </is>
      </c>
      <c r="J6" s="9" t="inlineStr">
        <is>
          <t>Depende de</t>
        </is>
      </c>
      <c r="K6" s="10" t="n">
        <v>1</v>
      </c>
      <c r="L6" s="10" t="n">
        <v>2</v>
      </c>
      <c r="M6" s="10" t="n">
        <v>3</v>
      </c>
      <c r="N6" s="10" t="n">
        <v>4</v>
      </c>
      <c r="O6" s="10" t="n">
        <v>5</v>
      </c>
      <c r="P6" s="10" t="n">
        <v>6</v>
      </c>
      <c r="Q6" s="10" t="n">
        <v>7</v>
      </c>
      <c r="R6" s="10" t="n">
        <v>8</v>
      </c>
      <c r="S6" s="10" t="n">
        <v>9</v>
      </c>
      <c r="T6" s="10" t="n">
        <v>10</v>
      </c>
      <c r="U6" s="10" t="n">
        <v>11</v>
      </c>
      <c r="V6" s="10" t="n">
        <v>12</v>
      </c>
    </row>
    <row r="7" ht="15" customHeight="1" s="2">
      <c r="A7" s="11" t="n">
        <v>1</v>
      </c>
      <c r="B7" s="12" t="inlineStr">
        <is>
          <t>Sprint 1 – Diseño y documentación</t>
        </is>
      </c>
      <c r="C7" s="12" t="n"/>
      <c r="D7" s="11" t="inlineStr">
        <is>
          <t>Sprint 1</t>
        </is>
      </c>
      <c r="E7" s="11">
        <f>MIN(E8:E9)</f>
        <v/>
      </c>
      <c r="F7" s="11">
        <f>G7-E7+1</f>
        <v/>
      </c>
      <c r="G7" s="11">
        <f>MAX(G8:G9)</f>
        <v/>
      </c>
      <c r="H7" s="13">
        <f>$C$2+7*(E7-1)</f>
        <v/>
      </c>
      <c r="I7" s="13">
        <f>$C$2+7*(G7-1)+4</f>
        <v/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</row>
    <row r="8" ht="15" customHeight="1" s="2">
      <c r="A8" s="14" t="inlineStr">
        <is>
          <t>1.1</t>
        </is>
      </c>
      <c r="B8" s="15" t="inlineStr">
        <is>
          <t>Contexto, arquitectura y decisiones técnicas (docs/)</t>
        </is>
      </c>
      <c r="C8" s="16" t="inlineStr">
        <is>
          <t>Abraham Castro</t>
        </is>
      </c>
      <c r="D8" s="14" t="inlineStr">
        <is>
          <t>Sprint 1</t>
        </is>
      </c>
      <c r="E8" s="17" t="n">
        <v>1</v>
      </c>
      <c r="F8" s="17" t="n">
        <v>1</v>
      </c>
      <c r="G8" s="14">
        <f>E8+F8-1</f>
        <v/>
      </c>
      <c r="H8" s="18">
        <f>$C$2+7*(E8-1)</f>
        <v/>
      </c>
      <c r="I8" s="18">
        <f>$C$2+7*(G8-1)+4</f>
        <v/>
      </c>
      <c r="J8" s="14" t="inlineStr">
        <is>
          <t>—</t>
        </is>
      </c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</row>
    <row r="9" ht="15" customHeight="1" s="2">
      <c r="A9" s="14" t="inlineStr">
        <is>
          <t>1.2</t>
        </is>
      </c>
      <c r="B9" s="15" t="inlineStr">
        <is>
          <t>Pauta Nota 2, roles, RACI, Scrum/PMI y Carta Gantt</t>
        </is>
      </c>
      <c r="C9" s="16" t="inlineStr">
        <is>
          <t>Bárbara Saavedra</t>
        </is>
      </c>
      <c r="D9" s="14" t="inlineStr">
        <is>
          <t>Sprint 2 y 3</t>
        </is>
      </c>
      <c r="E9" s="17" t="n">
        <v>2</v>
      </c>
      <c r="F9" s="17" t="n">
        <v>2</v>
      </c>
      <c r="G9" s="14">
        <f>E9+F9-1</f>
        <v/>
      </c>
      <c r="H9" s="18">
        <f>$C$2+7*(E9-1)</f>
        <v/>
      </c>
      <c r="I9" s="18">
        <f>$C$2+7*(G9-1)+4</f>
        <v/>
      </c>
      <c r="J9" s="14" t="inlineStr">
        <is>
          <t>1.1</t>
        </is>
      </c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</row>
    <row r="10" ht="15" customHeight="1" s="2">
      <c r="A10" s="11" t="n">
        <v>2</v>
      </c>
      <c r="B10" s="12" t="inlineStr">
        <is>
          <t>Sprint 2 – Captura y visualización</t>
        </is>
      </c>
      <c r="C10" s="12" t="n"/>
      <c r="D10" s="11" t="inlineStr">
        <is>
          <t>Sprint 2</t>
        </is>
      </c>
      <c r="E10" s="11">
        <f>MIN(E11:E14)</f>
        <v/>
      </c>
      <c r="F10" s="11">
        <f>G10-E10+1</f>
        <v/>
      </c>
      <c r="G10" s="11">
        <f>MAX(G11:G14)</f>
        <v/>
      </c>
      <c r="H10" s="13">
        <f>$C$2+7*(E10-1)</f>
        <v/>
      </c>
      <c r="I10" s="13">
        <f>$C$2+7*(G10-1)+4</f>
        <v/>
      </c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</row>
    <row r="11" ht="15" customHeight="1" s="2">
      <c r="A11" s="14" t="inlineStr">
        <is>
          <t>2.1</t>
        </is>
      </c>
      <c r="B11" s="15" t="inlineStr">
        <is>
          <t>Contrato de datos del dashboard y formato de telemetría</t>
        </is>
      </c>
      <c r="C11" s="16" t="inlineStr">
        <is>
          <t>Abraham Castro</t>
        </is>
      </c>
      <c r="D11" s="14" t="inlineStr">
        <is>
          <t>Sprint 2</t>
        </is>
      </c>
      <c r="E11" s="17" t="n">
        <v>2</v>
      </c>
      <c r="F11" s="17" t="n">
        <v>1</v>
      </c>
      <c r="G11" s="14">
        <f>E11+F11-1</f>
        <v/>
      </c>
      <c r="H11" s="18">
        <f>$C$2+7*(E11-1)</f>
        <v/>
      </c>
      <c r="I11" s="18">
        <f>$C$2+7*(G11-1)+4</f>
        <v/>
      </c>
      <c r="J11" s="14" t="inlineStr">
        <is>
          <t>1.1</t>
        </is>
      </c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</row>
    <row r="12" ht="15" customHeight="1" s="2">
      <c r="A12" s="14" t="inlineStr">
        <is>
          <t>2.2</t>
        </is>
      </c>
      <c r="B12" s="15" t="inlineStr">
        <is>
          <t>Broker MQTT EMQX (TLS, usuario y Client ID por dispositivo)</t>
        </is>
      </c>
      <c r="C12" s="16" t="inlineStr">
        <is>
          <t>Abraham Castro</t>
        </is>
      </c>
      <c r="D12" s="14" t="inlineStr">
        <is>
          <t>Sprint 2</t>
        </is>
      </c>
      <c r="E12" s="17" t="n">
        <v>2</v>
      </c>
      <c r="F12" s="17" t="n">
        <v>1</v>
      </c>
      <c r="G12" s="14">
        <f>E12+F12-1</f>
        <v/>
      </c>
      <c r="H12" s="18">
        <f>$C$2+7*(E12-1)</f>
        <v/>
      </c>
      <c r="I12" s="18">
        <f>$C$2+7*(G12-1)+4</f>
        <v/>
      </c>
      <c r="J12" s="14" t="inlineStr">
        <is>
          <t>2.1</t>
        </is>
      </c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</row>
    <row r="13" ht="15" customHeight="1" s="2">
      <c r="A13" s="14" t="inlineStr">
        <is>
          <t>2.3</t>
        </is>
      </c>
      <c r="B13" s="15" t="inlineStr">
        <is>
          <t>Dashboard React con datos simulados</t>
        </is>
      </c>
      <c r="C13" s="16" t="inlineStr">
        <is>
          <t>Abraham Castro</t>
        </is>
      </c>
      <c r="D13" s="14" t="inlineStr">
        <is>
          <t>Sprint 2</t>
        </is>
      </c>
      <c r="E13" s="17" t="n">
        <v>2</v>
      </c>
      <c r="F13" s="17" t="n">
        <v>2</v>
      </c>
      <c r="G13" s="14">
        <f>E13+F13-1</f>
        <v/>
      </c>
      <c r="H13" s="18">
        <f>$C$2+7*(E13-1)</f>
        <v/>
      </c>
      <c r="I13" s="18">
        <f>$C$2+7*(G13-1)+4</f>
        <v/>
      </c>
      <c r="J13" s="14" t="inlineStr">
        <is>
          <t>2.1</t>
        </is>
      </c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</row>
    <row r="14" ht="15" customHeight="1" s="2">
      <c r="A14" s="14" t="inlineStr">
        <is>
          <t>2.4</t>
        </is>
      </c>
      <c r="B14" s="15" t="inlineStr">
        <is>
          <t>Backend AWS: API Gateway, Lambda, DynamoDB y S3</t>
        </is>
      </c>
      <c r="C14" s="16" t="inlineStr">
        <is>
          <t>Felipe Murúa</t>
        </is>
      </c>
      <c r="D14" s="14" t="inlineStr">
        <is>
          <t>Sprint 2</t>
        </is>
      </c>
      <c r="E14" s="17" t="n">
        <v>2</v>
      </c>
      <c r="F14" s="17" t="n">
        <v>2</v>
      </c>
      <c r="G14" s="14">
        <f>E14+F14-1</f>
        <v/>
      </c>
      <c r="H14" s="18">
        <f>$C$2+7*(E14-1)</f>
        <v/>
      </c>
      <c r="I14" s="18">
        <f>$C$2+7*(G14-1)+4</f>
        <v/>
      </c>
      <c r="J14" s="14" t="inlineStr">
        <is>
          <t>2.1</t>
        </is>
      </c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</row>
    <row r="15" ht="15" customHeight="1" s="2">
      <c r="A15" s="11" t="n">
        <v>3</v>
      </c>
      <c r="B15" s="12" t="inlineStr">
        <is>
          <t>Sprint 3 – Integración híbrida y demo</t>
        </is>
      </c>
      <c r="C15" s="12" t="n"/>
      <c r="D15" s="11" t="inlineStr">
        <is>
          <t>Sprint 3</t>
        </is>
      </c>
      <c r="E15" s="11">
        <f>MIN(E16:E20)</f>
        <v/>
      </c>
      <c r="F15" s="11">
        <f>G15-E15+1</f>
        <v/>
      </c>
      <c r="G15" s="11">
        <f>MAX(G16:G20)</f>
        <v/>
      </c>
      <c r="H15" s="13">
        <f>$C$2+7*(E15-1)</f>
        <v/>
      </c>
      <c r="I15" s="13">
        <f>$C$2+7*(G15-1)+4</f>
        <v/>
      </c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</row>
    <row r="16" ht="15" customHeight="1" s="2">
      <c r="A16" s="14" t="inlineStr">
        <is>
          <t>3.1</t>
        </is>
      </c>
      <c r="B16" s="15" t="inlineStr">
        <is>
          <t>ESP32 en Wokwi publicando por MQTT</t>
        </is>
      </c>
      <c r="C16" s="16" t="inlineStr">
        <is>
          <t>Sebastián Fuentes</t>
        </is>
      </c>
      <c r="D16" s="14" t="inlineStr">
        <is>
          <t>Sprint 3</t>
        </is>
      </c>
      <c r="E16" s="17" t="n">
        <v>2</v>
      </c>
      <c r="F16" s="17" t="n">
        <v>2</v>
      </c>
      <c r="G16" s="14">
        <f>E16+F16-1</f>
        <v/>
      </c>
      <c r="H16" s="18">
        <f>$C$2+7*(E16-1)</f>
        <v/>
      </c>
      <c r="I16" s="18">
        <f>$C$2+7*(G16-1)+4</f>
        <v/>
      </c>
      <c r="J16" s="14" t="inlineStr">
        <is>
          <t>2.2</t>
        </is>
      </c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</row>
    <row r="17" ht="15" customHeight="1" s="2">
      <c r="A17" s="14" t="inlineStr">
        <is>
          <t>3.2</t>
        </is>
      </c>
      <c r="B17" s="15" t="inlineStr">
        <is>
          <t>Edge Gateway: SQLite, intervalos, alertas y sincronización</t>
        </is>
      </c>
      <c r="C17" s="16" t="inlineStr">
        <is>
          <t>Abraham Castro</t>
        </is>
      </c>
      <c r="D17" s="14" t="inlineStr">
        <is>
          <t>Sprint 3</t>
        </is>
      </c>
      <c r="E17" s="17" t="n">
        <v>2</v>
      </c>
      <c r="F17" s="17" t="n">
        <v>2</v>
      </c>
      <c r="G17" s="14">
        <f>E17+F17-1</f>
        <v/>
      </c>
      <c r="H17" s="18">
        <f>$C$2+7*(E17-1)</f>
        <v/>
      </c>
      <c r="I17" s="18">
        <f>$C$2+7*(G17-1)+4</f>
        <v/>
      </c>
      <c r="J17" s="14" t="inlineStr">
        <is>
          <t>2.2, 2.4</t>
        </is>
      </c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</row>
    <row r="18" ht="15" customHeight="1" s="2">
      <c r="A18" s="14" t="inlineStr">
        <is>
          <t>3.3</t>
        </is>
      </c>
      <c r="B18" s="15" t="inlineStr">
        <is>
          <t>Pruebas del Edge y simulación de corte de internet</t>
        </is>
      </c>
      <c r="C18" s="16" t="inlineStr">
        <is>
          <t>Lisandra González</t>
        </is>
      </c>
      <c r="D18" s="14" t="inlineStr">
        <is>
          <t>Sprint 3</t>
        </is>
      </c>
      <c r="E18" s="17" t="n">
        <v>3</v>
      </c>
      <c r="F18" s="17" t="n">
        <v>1</v>
      </c>
      <c r="G18" s="14">
        <f>E18+F18-1</f>
        <v/>
      </c>
      <c r="H18" s="18">
        <f>$C$2+7*(E18-1)</f>
        <v/>
      </c>
      <c r="I18" s="18">
        <f>$C$2+7*(G18-1)+4</f>
        <v/>
      </c>
      <c r="J18" s="14" t="inlineStr">
        <is>
          <t>3.2</t>
        </is>
      </c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</row>
    <row r="19" ht="15" customHeight="1" s="2">
      <c r="A19" s="14" t="inlineStr">
        <is>
          <t>3.4</t>
        </is>
      </c>
      <c r="B19" s="15" t="inlineStr">
        <is>
          <t>Cognito con MFA</t>
        </is>
      </c>
      <c r="C19" s="16" t="inlineStr">
        <is>
          <t>Felipe Murúa</t>
        </is>
      </c>
      <c r="D19" s="14" t="inlineStr">
        <is>
          <t>Sprint 3</t>
        </is>
      </c>
      <c r="E19" s="17" t="n">
        <v>3</v>
      </c>
      <c r="F19" s="17" t="n">
        <v>1</v>
      </c>
      <c r="G19" s="14">
        <f>E19+F19-1</f>
        <v/>
      </c>
      <c r="H19" s="18">
        <f>$C$2+7*(E19-1)</f>
        <v/>
      </c>
      <c r="I19" s="18">
        <f>$C$2+7*(G19-1)+4</f>
        <v/>
      </c>
      <c r="J19" s="14" t="inlineStr">
        <is>
          <t>2.4</t>
        </is>
      </c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</row>
    <row r="20" ht="15" customHeight="1" s="2">
      <c r="A20" s="14" t="inlineStr">
        <is>
          <t>3.5</t>
        </is>
      </c>
      <c r="B20" s="15" t="inlineStr">
        <is>
          <t>Casos de prueba y ensayo de la demo</t>
        </is>
      </c>
      <c r="C20" s="16" t="inlineStr">
        <is>
          <t>Abraham Castro</t>
        </is>
      </c>
      <c r="D20" s="14" t="inlineStr">
        <is>
          <t>Sprint 3</t>
        </is>
      </c>
      <c r="E20" s="17" t="n">
        <v>3</v>
      </c>
      <c r="F20" s="17" t="n">
        <v>1</v>
      </c>
      <c r="G20" s="14">
        <f>E20+F20-1</f>
        <v/>
      </c>
      <c r="H20" s="18">
        <f>$C$2+7*(E20-1)</f>
        <v/>
      </c>
      <c r="I20" s="18">
        <f>$C$2+7*(G20-1)+4</f>
        <v/>
      </c>
      <c r="J20" s="14" t="inlineStr">
        <is>
          <t>3.1, 3.2</t>
        </is>
      </c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</row>
    <row r="21" ht="15" customHeight="1" s="2">
      <c r="A21" s="11" t="n">
        <v>4</v>
      </c>
      <c r="B21" s="12" t="inlineStr">
        <is>
          <t>Implementación en Induplac (PMI)</t>
        </is>
      </c>
      <c r="C21" s="12" t="n"/>
      <c r="D21" s="11" t="inlineStr">
        <is>
          <t>PMI</t>
        </is>
      </c>
      <c r="E21" s="11">
        <f>MIN(E22:E31)</f>
        <v/>
      </c>
      <c r="F21" s="11">
        <f>G21-E21+1</f>
        <v/>
      </c>
      <c r="G21" s="11">
        <f>MAX(G22:G31)</f>
        <v/>
      </c>
      <c r="H21" s="13">
        <f>$C$2+7*(E21-1)</f>
        <v/>
      </c>
      <c r="I21" s="13">
        <f>$C$2+7*(G21-1)+4</f>
        <v/>
      </c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</row>
    <row r="22" ht="15" customHeight="1" s="2">
      <c r="A22" s="14" t="inlineStr">
        <is>
          <t>4.1</t>
        </is>
      </c>
      <c r="B22" s="15" t="inlineStr">
        <is>
          <t>Inicio: validar alcance y criterios de éxito con Induplac</t>
        </is>
      </c>
      <c r="C22" s="16" t="inlineStr">
        <is>
          <t>Abraham Castro</t>
        </is>
      </c>
      <c r="D22" s="14" t="inlineStr">
        <is>
          <t>Inicio</t>
        </is>
      </c>
      <c r="E22" s="17" t="n">
        <v>4</v>
      </c>
      <c r="F22" s="17" t="n">
        <v>1</v>
      </c>
      <c r="G22" s="14">
        <f>E22+F22-1</f>
        <v/>
      </c>
      <c r="H22" s="18">
        <f>$C$2+7*(E22-1)</f>
        <v/>
      </c>
      <c r="I22" s="18">
        <f>$C$2+7*(G22-1)+4</f>
        <v/>
      </c>
      <c r="J22" s="14" t="inlineStr">
        <is>
          <t>3.5</t>
        </is>
      </c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</row>
    <row r="23" ht="15" customHeight="1" s="2">
      <c r="A23" s="14" t="inlineStr">
        <is>
          <t>4.2</t>
        </is>
      </c>
      <c r="B23" s="15" t="inlineStr">
        <is>
          <t>Planificación: diseño detallado, riesgos y compras (sensores, Raspberry Pi)</t>
        </is>
      </c>
      <c r="C23" s="16" t="inlineStr">
        <is>
          <t>Bárbara Saavedra</t>
        </is>
      </c>
      <c r="D23" s="14" t="inlineStr">
        <is>
          <t>Planificación</t>
        </is>
      </c>
      <c r="E23" s="17" t="n">
        <v>5</v>
      </c>
      <c r="F23" s="17" t="n">
        <v>1</v>
      </c>
      <c r="G23" s="14">
        <f>E23+F23-1</f>
        <v/>
      </c>
      <c r="H23" s="18">
        <f>$C$2+7*(E23-1)</f>
        <v/>
      </c>
      <c r="I23" s="18">
        <f>$C$2+7*(G23-1)+4</f>
        <v/>
      </c>
      <c r="J23" s="14" t="inlineStr">
        <is>
          <t>4.1</t>
        </is>
      </c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</row>
    <row r="24" ht="15" customHeight="1" s="2">
      <c r="A24" s="14" t="inlineStr">
        <is>
          <t>4.3</t>
        </is>
      </c>
      <c r="B24" s="15" t="inlineStr">
        <is>
          <t>Instalación de sensores y red (VLAN IoT, VPN)</t>
        </is>
      </c>
      <c r="C24" s="16" t="inlineStr">
        <is>
          <t>Sebastián Fuentes</t>
        </is>
      </c>
      <c r="D24" s="14" t="inlineStr">
        <is>
          <t>Ejecución</t>
        </is>
      </c>
      <c r="E24" s="17" t="n">
        <v>6</v>
      </c>
      <c r="F24" s="17" t="n">
        <v>2</v>
      </c>
      <c r="G24" s="14">
        <f>E24+F24-1</f>
        <v/>
      </c>
      <c r="H24" s="18">
        <f>$C$2+7*(E24-1)</f>
        <v/>
      </c>
      <c r="I24" s="18">
        <f>$C$2+7*(G24-1)+4</f>
        <v/>
      </c>
      <c r="J24" s="14" t="inlineStr">
        <is>
          <t>4.2</t>
        </is>
      </c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</row>
    <row r="25" ht="15" customHeight="1" s="2">
      <c r="A25" s="14" t="inlineStr">
        <is>
          <t>4.4</t>
        </is>
      </c>
      <c r="B25" s="15" t="inlineStr">
        <is>
          <t>Despliegue del Edge en la Raspberry Pi (RTC + NTP)</t>
        </is>
      </c>
      <c r="C25" s="16" t="inlineStr">
        <is>
          <t>Lisandra González</t>
        </is>
      </c>
      <c r="D25" s="14" t="inlineStr">
        <is>
          <t>Ejecución</t>
        </is>
      </c>
      <c r="E25" s="17" t="n">
        <v>6</v>
      </c>
      <c r="F25" s="17" t="n">
        <v>2</v>
      </c>
      <c r="G25" s="14">
        <f>E25+F25-1</f>
        <v/>
      </c>
      <c r="H25" s="18">
        <f>$C$2+7*(E25-1)</f>
        <v/>
      </c>
      <c r="I25" s="18">
        <f>$C$2+7*(G25-1)+4</f>
        <v/>
      </c>
      <c r="J25" s="14" t="inlineStr">
        <is>
          <t>4.2</t>
        </is>
      </c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</row>
    <row r="26" ht="15" customHeight="1" s="2">
      <c r="A26" s="14" t="inlineStr">
        <is>
          <t>4.5</t>
        </is>
      </c>
      <c r="B26" s="15" t="inlineStr">
        <is>
          <t>Backend, Cognito y dashboard en producción</t>
        </is>
      </c>
      <c r="C26" s="16" t="inlineStr">
        <is>
          <t>Felipe Murúa</t>
        </is>
      </c>
      <c r="D26" s="14" t="inlineStr">
        <is>
          <t>Ejecución</t>
        </is>
      </c>
      <c r="E26" s="17" t="n">
        <v>6</v>
      </c>
      <c r="F26" s="17" t="n">
        <v>2</v>
      </c>
      <c r="G26" s="14">
        <f>E26+F26-1</f>
        <v/>
      </c>
      <c r="H26" s="18">
        <f>$C$2+7*(E26-1)</f>
        <v/>
      </c>
      <c r="I26" s="18">
        <f>$C$2+7*(G26-1)+4</f>
        <v/>
      </c>
      <c r="J26" s="14" t="inlineStr">
        <is>
          <t>4.2</t>
        </is>
      </c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</row>
    <row r="27" ht="15" customHeight="1" s="2">
      <c r="A27" s="14" t="inlineStr">
        <is>
          <t>4.6</t>
        </is>
      </c>
      <c r="B27" s="15" t="inlineStr">
        <is>
          <t>Pruebas de seguridad, corte de red y permisos</t>
        </is>
      </c>
      <c r="C27" s="16" t="inlineStr">
        <is>
          <t>Felipe Murúa</t>
        </is>
      </c>
      <c r="D27" s="14" t="inlineStr">
        <is>
          <t>Monitoreo y control</t>
        </is>
      </c>
      <c r="E27" s="17" t="n">
        <v>8</v>
      </c>
      <c r="F27" s="17" t="n">
        <v>1</v>
      </c>
      <c r="G27" s="14">
        <f>E27+F27-1</f>
        <v/>
      </c>
      <c r="H27" s="18">
        <f>$C$2+7*(E27-1)</f>
        <v/>
      </c>
      <c r="I27" s="18">
        <f>$C$2+7*(G27-1)+4</f>
        <v/>
      </c>
      <c r="J27" s="14" t="inlineStr">
        <is>
          <t>4.3, 4.4, 4.5</t>
        </is>
      </c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</row>
    <row r="28" ht="15" customHeight="1" s="2">
      <c r="A28" s="14" t="inlineStr">
        <is>
          <t>4.7</t>
        </is>
      </c>
      <c r="B28" s="15" t="inlineStr">
        <is>
          <t>Piloto en Local 1 y capacitación de usuarios</t>
        </is>
      </c>
      <c r="C28" s="16" t="inlineStr">
        <is>
          <t>Bárbara Saavedra</t>
        </is>
      </c>
      <c r="D28" s="14" t="inlineStr">
        <is>
          <t>Ejecución</t>
        </is>
      </c>
      <c r="E28" s="17" t="n">
        <v>9</v>
      </c>
      <c r="F28" s="17" t="n">
        <v>1</v>
      </c>
      <c r="G28" s="14">
        <f>E28+F28-1</f>
        <v/>
      </c>
      <c r="H28" s="18">
        <f>$C$2+7*(E28-1)</f>
        <v/>
      </c>
      <c r="I28" s="18">
        <f>$C$2+7*(G28-1)+4</f>
        <v/>
      </c>
      <c r="J28" s="14" t="inlineStr">
        <is>
          <t>4.6</t>
        </is>
      </c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</row>
    <row r="29" ht="15" customHeight="1" s="2">
      <c r="A29" s="14" t="inlineStr">
        <is>
          <t>4.8</t>
        </is>
      </c>
      <c r="B29" s="15" t="inlineStr">
        <is>
          <t>Extensión a Local 2</t>
        </is>
      </c>
      <c r="C29" s="16" t="inlineStr">
        <is>
          <t>Sebastián Fuentes</t>
        </is>
      </c>
      <c r="D29" s="14" t="inlineStr">
        <is>
          <t>Ejecución</t>
        </is>
      </c>
      <c r="E29" s="17" t="n">
        <v>10</v>
      </c>
      <c r="F29" s="17" t="n">
        <v>1</v>
      </c>
      <c r="G29" s="14">
        <f>E29+F29-1</f>
        <v/>
      </c>
      <c r="H29" s="18">
        <f>$C$2+7*(E29-1)</f>
        <v/>
      </c>
      <c r="I29" s="18">
        <f>$C$2+7*(G29-1)+4</f>
        <v/>
      </c>
      <c r="J29" s="14" t="inlineStr">
        <is>
          <t>4.7</t>
        </is>
      </c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</row>
    <row r="30" ht="15" customHeight="1" s="2">
      <c r="A30" s="14" t="inlineStr">
        <is>
          <t>4.9</t>
        </is>
      </c>
      <c r="B30" s="15" t="inlineStr">
        <is>
          <t>Monitoreo y control (revisión semanal de avance y riesgos)</t>
        </is>
      </c>
      <c r="C30" s="16" t="inlineStr">
        <is>
          <t>Abraham Castro</t>
        </is>
      </c>
      <c r="D30" s="14" t="inlineStr">
        <is>
          <t>Monitoreo y control</t>
        </is>
      </c>
      <c r="E30" s="17" t="n">
        <v>4</v>
      </c>
      <c r="F30" s="17" t="n">
        <v>8</v>
      </c>
      <c r="G30" s="14">
        <f>E30+F30-1</f>
        <v/>
      </c>
      <c r="H30" s="18">
        <f>$C$2+7*(E30-1)</f>
        <v/>
      </c>
      <c r="I30" s="18">
        <f>$C$2+7*(G30-1)+4</f>
        <v/>
      </c>
      <c r="J30" s="14" t="inlineStr">
        <is>
          <t>—</t>
        </is>
      </c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</row>
    <row r="31" ht="15" customHeight="1" s="2">
      <c r="A31" s="14" t="inlineStr">
        <is>
          <t>4.10</t>
        </is>
      </c>
      <c r="B31" s="15" t="inlineStr">
        <is>
          <t>Cierre: aceptación, documentación y lecciones aprendidas</t>
        </is>
      </c>
      <c r="C31" s="16" t="inlineStr">
        <is>
          <t>Abraham Castro</t>
        </is>
      </c>
      <c r="D31" s="14" t="inlineStr">
        <is>
          <t>Cierre</t>
        </is>
      </c>
      <c r="E31" s="17" t="n">
        <v>12</v>
      </c>
      <c r="F31" s="17" t="n">
        <v>1</v>
      </c>
      <c r="G31" s="14">
        <f>E31+F31-1</f>
        <v/>
      </c>
      <c r="H31" s="18">
        <f>$C$2+7*(E31-1)</f>
        <v/>
      </c>
      <c r="I31" s="18">
        <f>$C$2+7*(G31-1)+4</f>
        <v/>
      </c>
      <c r="J31" s="14" t="inlineStr">
        <is>
          <t>4.8</t>
        </is>
      </c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</row>
    <row r="32" ht="15" customHeight="1" s="2">
      <c r="A32" s="11" t="n">
        <v>5</v>
      </c>
      <c r="B32" s="12" t="inlineStr">
        <is>
          <t>Hitos</t>
        </is>
      </c>
      <c r="C32" s="12" t="n"/>
      <c r="D32" s="11" t="inlineStr">
        <is>
          <t>Hitos</t>
        </is>
      </c>
      <c r="E32" s="11">
        <f>MIN(E33:E37)</f>
        <v/>
      </c>
      <c r="F32" s="11">
        <f>G32-E32+1</f>
        <v/>
      </c>
      <c r="G32" s="11">
        <f>MAX(G33:G37)</f>
        <v/>
      </c>
      <c r="H32" s="13">
        <f>$C$2+7*(E32-1)</f>
        <v/>
      </c>
      <c r="I32" s="13">
        <f>$C$2+7*(G32-1)+4</f>
        <v/>
      </c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</row>
    <row r="33" ht="15" customHeight="1" s="2">
      <c r="A33" s="14" t="inlineStr">
        <is>
          <t>5.1</t>
        </is>
      </c>
      <c r="B33" s="15" t="inlineStr">
        <is>
          <t>◆ Broker y backend en la nube operativos</t>
        </is>
      </c>
      <c r="C33" s="16" t="inlineStr">
        <is>
          <t>Equipo</t>
        </is>
      </c>
      <c r="D33" s="14" t="inlineStr">
        <is>
          <t>Hitos</t>
        </is>
      </c>
      <c r="E33" s="17" t="n">
        <v>2</v>
      </c>
      <c r="F33" s="17" t="n">
        <v>1</v>
      </c>
      <c r="G33" s="14">
        <f>E33+F33-1</f>
        <v/>
      </c>
      <c r="H33" s="18">
        <f>$C$2+7*(E33-1)</f>
        <v/>
      </c>
      <c r="I33" s="18">
        <f>$C$2+7*(G33-1)+4</f>
        <v/>
      </c>
      <c r="J33" s="14" t="inlineStr">
        <is>
          <t>2.2, 2.4</t>
        </is>
      </c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</row>
    <row r="34" ht="15" customHeight="1" s="2">
      <c r="A34" s="14" t="inlineStr">
        <is>
          <t>5.2</t>
        </is>
      </c>
      <c r="B34" s="15" t="inlineStr">
        <is>
          <t>◆ Demostración del prototipo (miércoles 21/10)</t>
        </is>
      </c>
      <c r="C34" s="16" t="inlineStr">
        <is>
          <t>Equipo</t>
        </is>
      </c>
      <c r="D34" s="14" t="inlineStr">
        <is>
          <t>Hitos</t>
        </is>
      </c>
      <c r="E34" s="17" t="n">
        <v>3</v>
      </c>
      <c r="F34" s="17" t="n">
        <v>1</v>
      </c>
      <c r="G34" s="14">
        <f>E34+F34-1</f>
        <v/>
      </c>
      <c r="H34" s="18">
        <f>$C$2+7*(E34-1)</f>
        <v/>
      </c>
      <c r="I34" s="18">
        <f>$C$2+7*(G34-1)+4</f>
        <v/>
      </c>
      <c r="J34" s="14" t="inlineStr">
        <is>
          <t>3.5</t>
        </is>
      </c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</row>
    <row r="35" ht="15" customHeight="1" s="2">
      <c r="A35" s="14" t="inlineStr">
        <is>
          <t>5.3</t>
        </is>
      </c>
      <c r="B35" s="15" t="inlineStr">
        <is>
          <t>◆ Acta de inicio con Induplac</t>
        </is>
      </c>
      <c r="C35" s="16" t="inlineStr">
        <is>
          <t>Equipo</t>
        </is>
      </c>
      <c r="D35" s="14" t="inlineStr">
        <is>
          <t>Hitos</t>
        </is>
      </c>
      <c r="E35" s="17" t="n">
        <v>4</v>
      </c>
      <c r="F35" s="17" t="n">
        <v>1</v>
      </c>
      <c r="G35" s="14">
        <f>E35+F35-1</f>
        <v/>
      </c>
      <c r="H35" s="18">
        <f>$C$2+7*(E35-1)</f>
        <v/>
      </c>
      <c r="I35" s="18">
        <f>$C$2+7*(G35-1)+4</f>
        <v/>
      </c>
      <c r="J35" s="14" t="inlineStr">
        <is>
          <t>4.1</t>
        </is>
      </c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</row>
    <row r="36" ht="15" customHeight="1" s="2">
      <c r="A36" s="14" t="inlineStr">
        <is>
          <t>5.4</t>
        </is>
      </c>
      <c r="B36" s="15" t="inlineStr">
        <is>
          <t>◆ Pruebas aprobadas</t>
        </is>
      </c>
      <c r="C36" s="16" t="inlineStr">
        <is>
          <t>Equipo</t>
        </is>
      </c>
      <c r="D36" s="14" t="inlineStr">
        <is>
          <t>Hitos</t>
        </is>
      </c>
      <c r="E36" s="17" t="n">
        <v>8</v>
      </c>
      <c r="F36" s="17" t="n">
        <v>1</v>
      </c>
      <c r="G36" s="14">
        <f>E36+F36-1</f>
        <v/>
      </c>
      <c r="H36" s="18">
        <f>$C$2+7*(E36-1)</f>
        <v/>
      </c>
      <c r="I36" s="18">
        <f>$C$2+7*(G36-1)+4</f>
        <v/>
      </c>
      <c r="J36" s="14" t="inlineStr">
        <is>
          <t>4.6</t>
        </is>
      </c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</row>
    <row r="37" ht="15" customHeight="1" s="2">
      <c r="A37" s="14" t="inlineStr">
        <is>
          <t>5.5</t>
        </is>
      </c>
      <c r="B37" s="15" t="inlineStr">
        <is>
          <t>◆ Puesta en marcha</t>
        </is>
      </c>
      <c r="C37" s="16" t="inlineStr">
        <is>
          <t>Equipo</t>
        </is>
      </c>
      <c r="D37" s="14" t="inlineStr">
        <is>
          <t>Hitos</t>
        </is>
      </c>
      <c r="E37" s="17" t="n">
        <v>11</v>
      </c>
      <c r="F37" s="17" t="n">
        <v>1</v>
      </c>
      <c r="G37" s="14">
        <f>E37+F37-1</f>
        <v/>
      </c>
      <c r="H37" s="18">
        <f>$C$2+7*(E37-1)</f>
        <v/>
      </c>
      <c r="I37" s="18">
        <f>$C$2+7*(G37-1)+4</f>
        <v/>
      </c>
      <c r="J37" s="14" t="inlineStr">
        <is>
          <t>4.8</t>
        </is>
      </c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</row>
    <row r="38" ht="15" customHeight="1" s="2"/>
    <row r="39" ht="15" customHeight="1" s="2"/>
    <row r="40" ht="15" customHeight="1" s="2"/>
    <row r="41" ht="15" customHeight="1" s="2"/>
    <row r="42" ht="15" customHeight="1" s="2"/>
    <row r="43" ht="15" customHeight="1" s="2"/>
    <row r="44" ht="15" customHeight="1" s="2"/>
    <row r="45" ht="15" customHeight="1" s="2"/>
    <row r="47" ht="15" customHeight="1" s="2">
      <c r="B47" s="48" t="inlineStr">
        <is>
          <t>Leyenda (color de la barra = responsable)</t>
        </is>
      </c>
    </row>
    <row r="48" ht="15" customHeight="1" s="2">
      <c r="B48" s="24" t="inlineStr">
        <is>
          <t>Abraham Castro</t>
        </is>
      </c>
    </row>
    <row r="49" ht="15" customHeight="1" s="2">
      <c r="B49" s="25" t="inlineStr">
        <is>
          <t>Sebastián Fuentes</t>
        </is>
      </c>
    </row>
    <row r="50" ht="15" customHeight="1" s="2">
      <c r="B50" s="26" t="inlineStr">
        <is>
          <t>Lisandra González</t>
        </is>
      </c>
    </row>
    <row r="51" ht="15" customHeight="1" s="2">
      <c r="B51" s="27" t="inlineStr">
        <is>
          <t>Felipe Murúa</t>
        </is>
      </c>
    </row>
    <row r="52" ht="15" customHeight="1" s="2">
      <c r="B52" s="28" t="inlineStr">
        <is>
          <t>Bárbara Saavedra</t>
        </is>
      </c>
    </row>
    <row r="53" ht="15" customHeight="1" s="2">
      <c r="B53" s="29" t="inlineStr">
        <is>
          <t>Equipo</t>
        </is>
      </c>
    </row>
    <row r="54" ht="15" customHeight="1" s="2">
      <c r="B54" s="41" t="n"/>
    </row>
  </sheetData>
  <conditionalFormatting sqref="K5:V6">
    <cfRule type="expression" priority="9" dxfId="13">
      <formula>AND(TODAY()&gt;=K$5,TODAY()&lt;K$5+7)</formula>
    </cfRule>
  </conditionalFormatting>
  <conditionalFormatting sqref="K7:V45">
    <cfRule type="expression" priority="2" dxfId="12">
      <formula>AND($C7="",AND(K$6&gt;=$E7,K$6&lt;=$G7))</formula>
    </cfRule>
    <cfRule type="expression" priority="3" dxfId="11">
      <formula>AND($C7="Abraham Castro",AND(K$6&gt;=$E7,K$6&lt;=$G7))</formula>
    </cfRule>
    <cfRule type="expression" priority="4" dxfId="10">
      <formula>AND($C7="Sebastián Fuentes",AND(K$6&gt;=$E7,K$6&lt;=$G7))</formula>
    </cfRule>
    <cfRule type="expression" priority="5" dxfId="9">
      <formula>AND($C7="Lisandra González",AND(K$6&gt;=$E7,K$6&lt;=$G7))</formula>
    </cfRule>
    <cfRule type="expression" priority="6" dxfId="8">
      <formula>AND($C7="Felipe Murúa",AND(K$6&gt;=$E7,K$6&lt;=$G7))</formula>
    </cfRule>
    <cfRule type="expression" priority="7" dxfId="7">
      <formula>AND($C7="Bárbara Saavedra",AND(K$6&gt;=$E7,K$6&lt;=$G7))</formula>
    </cfRule>
    <cfRule type="expression" priority="8" dxfId="6">
      <formula>AND($C7="Equipo",AND(K$6&gt;=$E7,K$6&lt;=$G7))</formula>
    </cfRule>
  </conditionalFormatting>
  <pageMargins left="0.75" right="0.75" top="1" bottom="1" header="0.511811023622047" footer="0.511811023622047"/>
  <pageSetup orientation="landscape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zoomScaleNormal="100" workbookViewId="0">
      <pane ySplit="4" topLeftCell="A5" activePane="bottomLeft" state="frozen"/>
      <selection pane="bottomLeft" activeCell="A2" sqref="A2"/>
    </sheetView>
  </sheetViews>
  <sheetFormatPr baseColWidth="10" defaultColWidth="8.7109375" defaultRowHeight="15"/>
  <cols>
    <col width="22" customWidth="1" style="2" min="1" max="1"/>
    <col width="34" customWidth="1" style="2" min="2" max="2"/>
    <col width="70" customWidth="1" style="2" min="3" max="3"/>
    <col width="28" customWidth="1" style="2" min="4" max="4"/>
    <col width="20" customWidth="1" style="2" min="5" max="5"/>
    <col width="16" customWidth="1" style="2" min="6" max="6"/>
    <col width="30" customWidth="1" style="2" min="7" max="7"/>
  </cols>
  <sheetData>
    <row r="1" ht="17.25" customHeight="1" s="2">
      <c r="A1" s="40" t="inlineStr">
        <is>
          <t>Induplac IoT – Asignación de roles del equipo</t>
        </is>
      </c>
    </row>
    <row r="2" ht="15" customHeight="1" s="2">
      <c r="A2" s="30" t="inlineStr">
        <is>
          <t>Actualizado el 18/10/2026 según lo construido en GitHub (tablero EN-CURSO y notas de avance).</t>
        </is>
      </c>
    </row>
    <row r="4" ht="31.5" customHeight="1" s="2">
      <c r="A4" s="31" t="inlineStr">
        <is>
          <t>Integrante</t>
        </is>
      </c>
      <c r="B4" s="31" t="inlineStr">
        <is>
          <t>Rol</t>
        </is>
      </c>
      <c r="C4" s="31" t="inlineStr">
        <is>
          <t>Responsabilidades principales</t>
        </is>
      </c>
      <c r="D4" s="31" t="inlineStr">
        <is>
          <t>Carpeta del repositorio</t>
        </is>
      </c>
      <c r="E4" s="31" t="inlineStr">
        <is>
          <t>Sprint de mayor carga</t>
        </is>
      </c>
      <c r="F4" s="31" t="inlineStr">
        <is>
          <t>N.º de tareas detalladas</t>
        </is>
      </c>
      <c r="G4" s="31" t="inlineStr">
        <is>
          <t>Fortalezas</t>
        </is>
      </c>
    </row>
    <row r="5" ht="80" customHeight="1" s="2">
      <c r="A5" s="32" t="inlineStr">
        <is>
          <t>Abraham Castro</t>
        </is>
      </c>
      <c r="B5" s="32" t="inlineStr">
        <is>
          <t>Jefe de proyecto, integración y desarrollo (broker, Edge y dashboard)</t>
        </is>
      </c>
      <c r="C5" s="33" t="inlineStr">
        <is>
          <t>Coordina el equipo y el repositorio (README, docs/, ramas y Pull Requests). Creó el broker EMQX, el dashboard React y el Edge Gateway en Python; armó el backend AWS junto a Felipe. Prepara los casos de prueba y la demo.</t>
        </is>
      </c>
      <c r="D5" s="33" t="inlineStr">
        <is>
          <t>docs/, dashboard/, edge/</t>
        </is>
      </c>
      <c r="E5" s="33" t="inlineStr">
        <is>
          <t>Todos (transversal)</t>
        </is>
      </c>
      <c r="F5" s="34">
        <f>COUNTIF(Responsabilidades!$A:$A,A5)</f>
        <v/>
      </c>
      <c r="G5" s="33" t="inlineStr">
        <is>
          <t>Por completar (cada integrante)</t>
        </is>
      </c>
    </row>
    <row r="6" ht="80" customHeight="1" s="2">
      <c r="A6" s="35" t="inlineStr">
        <is>
          <t>Sebastián Fuentes</t>
        </is>
      </c>
      <c r="B6" s="35" t="inlineStr">
        <is>
          <t>Ingeniero IoT y simulación</t>
        </is>
      </c>
      <c r="C6" s="33" t="inlineStr">
        <is>
          <t>Sketch del ESP32 en Wokwi (Local 1 y Local 2): sensores simulados (CT, caudalímetro, UV), NTP, buffer de lecturas y publicación del JSON por MQTT en el broker EMQX (device_id + seq + ts). Escenarios de prueba de alertas.</t>
        </is>
      </c>
      <c r="D6" s="33" t="inlineStr">
        <is>
          <t>sensors/, simulation/</t>
        </is>
      </c>
      <c r="E6" s="33" t="inlineStr">
        <is>
          <t>Sprint 2 y 3</t>
        </is>
      </c>
      <c r="F6" s="34">
        <f>COUNTIF(Responsabilidades!$A:$A,A6)</f>
        <v/>
      </c>
      <c r="G6" s="33" t="inlineStr">
        <is>
          <t>Por completar (cada integrante)</t>
        </is>
      </c>
    </row>
    <row r="7" ht="80" customHeight="1" s="2">
      <c r="A7" s="36" t="inlineStr">
        <is>
          <t>Lisandra González</t>
        </is>
      </c>
      <c r="B7" s="36" t="inlineStr">
        <is>
          <t>Pruebas del Edge y modo offline</t>
        </is>
      </c>
      <c r="C7" s="33" t="inlineStr">
        <is>
          <t>Prueba el Edge Gateway (edge/) con el simulador y con Wokwi, ejecuta la simulación de corte de internet, verifica la sincronización al volver la conexión (ONLINE / OFFLINE / SINCRONIZANDO, lotes de 50, sin duplicados) y documenta las evidencias. En la implementación, despliega el Edge en la Raspberry Pi.</t>
        </is>
      </c>
      <c r="D7" s="33" t="inlineStr">
        <is>
          <t>edge/</t>
        </is>
      </c>
      <c r="E7" s="33" t="inlineStr">
        <is>
          <t>Sprint 3</t>
        </is>
      </c>
      <c r="F7" s="34">
        <f>COUNTIF(Responsabilidades!$A:$A,A7)</f>
        <v/>
      </c>
      <c r="G7" s="33" t="inlineStr">
        <is>
          <t>Por completar (cada integrante)</t>
        </is>
      </c>
    </row>
    <row r="8" ht="80" customHeight="1" s="2">
      <c r="A8" s="37" t="inlineStr">
        <is>
          <t>Felipe Murúa</t>
        </is>
      </c>
      <c r="B8" s="37" t="inlineStr">
        <is>
          <t>Cloud, backend y ciberseguridad</t>
        </is>
      </c>
      <c r="C8" s="33" t="inlineStr">
        <is>
          <t>AWS en el Learner Lab: API Gateway, Lambda (Python), DynamoDB y S3 para publicar el dashboard; reglas de alerta; Cognito con MFA; IAM, TLS, clave de ingesta y cumplimiento de la Ley 19.628.</t>
        </is>
      </c>
      <c r="D8" s="33" t="inlineStr">
        <is>
          <t>backend/, infrastructure/</t>
        </is>
      </c>
      <c r="E8" s="33" t="inlineStr">
        <is>
          <t>Sprint 2 y 3</t>
        </is>
      </c>
      <c r="F8" s="34">
        <f>COUNTIF(Responsabilidades!$A:$A,A8)</f>
        <v/>
      </c>
      <c r="G8" s="33" t="inlineStr">
        <is>
          <t>Por completar (cada integrante)</t>
        </is>
      </c>
    </row>
    <row r="9" ht="80" customHeight="1" s="2">
      <c r="A9" s="38" t="inlineStr">
        <is>
          <t>Bárbara Saavedra</t>
        </is>
      </c>
      <c r="B9" s="38" t="inlineStr">
        <is>
          <t>Planificación y frontend</t>
        </is>
      </c>
      <c r="C9" s="33" t="inlineStr">
        <is>
          <t>Roles, matriz RACI, planificación Scrum y PMI, y Carta Gantt (tareas 9, 10, 13 y 14). Apoya el dashboard: revisión de las vistas y capacitación de usuarios en la implementación.</t>
        </is>
      </c>
      <c r="D9" s="33" t="inlineStr">
        <is>
          <t>docs/, dashboard/</t>
        </is>
      </c>
      <c r="E9" s="33" t="inlineStr">
        <is>
          <t>Sprint 3 e implementación</t>
        </is>
      </c>
      <c r="F9" s="34">
        <f>COUNTIF(Responsabilidades!$A:$A,A9)</f>
        <v/>
      </c>
      <c r="G9" s="33" t="inlineStr">
        <is>
          <t>Por completar (cada integrante)</t>
        </is>
      </c>
    </row>
    <row r="10" ht="15" customHeight="1" s="2">
      <c r="E10" s="48" t="inlineStr">
        <is>
          <t>Total tareas</t>
        </is>
      </c>
      <c r="F10" s="39">
        <f>SUM(F5:F9)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2" sqref="A2"/>
    </sheetView>
  </sheetViews>
  <sheetFormatPr baseColWidth="10" defaultColWidth="8.7109375" defaultRowHeight="15"/>
  <cols>
    <col width="6" customWidth="1" style="2" min="1" max="1"/>
    <col width="62" customWidth="1" style="2" min="2" max="2"/>
    <col width="17" customWidth="1" style="2" min="3" max="7"/>
    <col width="9" customWidth="1" style="2" min="8" max="9"/>
    <col width="10" customWidth="1" style="2" min="10" max="10"/>
  </cols>
  <sheetData>
    <row r="1" ht="18" customHeight="1" s="2">
      <c r="A1" s="40" t="inlineStr">
        <is>
          <t>Induplac IoT – Matriz RACI</t>
        </is>
      </c>
    </row>
    <row r="2">
      <c r="A2" s="41" t="inlineStr">
        <is>
          <t>R = Responsable (hace el trabajo) · A = Aprobador (responde por el resultado; uno solo por tarea) · C = Consultado · I = Informado · A/R = hace el trabajo y responde por él. · 10 actividades, como pide la pauta (6 a 10).</t>
        </is>
      </c>
    </row>
    <row r="4" ht="45.75" customHeight="1" s="2">
      <c r="A4" s="42" t="inlineStr">
        <is>
          <t>N.º</t>
        </is>
      </c>
      <c r="B4" s="42" t="inlineStr">
        <is>
          <t>Tarea</t>
        </is>
      </c>
      <c r="C4" s="42" t="inlineStr">
        <is>
          <t>Abraham Castro
Jefe de proyecto, broker, Edge y dashboard</t>
        </is>
      </c>
      <c r="D4" s="42" t="inlineStr">
        <is>
          <t>Sebastián Fuentes
IoT y simulación</t>
        </is>
      </c>
      <c r="E4" s="42" t="inlineStr">
        <is>
          <t>Lisandra González
Pruebas del Edge y modo offline</t>
        </is>
      </c>
      <c r="F4" s="42" t="inlineStr">
        <is>
          <t>Felipe Murúa
Cloud y ciberseguridad</t>
        </is>
      </c>
      <c r="G4" s="42" t="inlineStr">
        <is>
          <t>Bárbara Saavedra
Planificación y frontend</t>
        </is>
      </c>
      <c r="H4" s="42" t="inlineStr">
        <is>
          <t>N.º de A</t>
        </is>
      </c>
      <c r="I4" s="42" t="inlineStr">
        <is>
          <t>N.º de R</t>
        </is>
      </c>
      <c r="J4" s="42" t="inlineStr">
        <is>
          <t>Control</t>
        </is>
      </c>
    </row>
    <row r="5" ht="30" customHeight="1" s="2">
      <c r="A5" s="43" t="n">
        <v>1</v>
      </c>
      <c r="B5" s="44" t="inlineStr">
        <is>
          <t>Captura IoT: ESP32 en Wokwi, payload JSON (device_id + seq + ts) y publicación MQTT</t>
        </is>
      </c>
      <c r="C5" s="45" t="inlineStr">
        <is>
          <t>C</t>
        </is>
      </c>
      <c r="D5" s="45" t="inlineStr">
        <is>
          <t>A/R</t>
        </is>
      </c>
      <c r="E5" s="45" t="inlineStr">
        <is>
          <t>I</t>
        </is>
      </c>
      <c r="F5" s="45" t="inlineStr">
        <is>
          <t>I</t>
        </is>
      </c>
      <c r="G5" s="45" t="inlineStr">
        <is>
          <t>I</t>
        </is>
      </c>
      <c r="H5" s="43">
        <f>COUNTIF(C5:G5,"A*")</f>
        <v/>
      </c>
      <c r="I5" s="43">
        <f>COUNTIF(C5:G5,"*R*")</f>
        <v/>
      </c>
      <c r="J5" s="43">
        <f>IF(AND(H5=1,I5&gt;=1),"OK","Revisar")</f>
        <v/>
      </c>
    </row>
    <row r="6" ht="30" customHeight="1" s="2">
      <c r="A6" s="43" t="n">
        <v>2</v>
      </c>
      <c r="B6" s="44" t="inlineStr">
        <is>
          <t>Broker MQTT EMQX (TLS, usuario y Client ID por dispositivo)</t>
        </is>
      </c>
      <c r="C6" s="45" t="inlineStr">
        <is>
          <t>A/R</t>
        </is>
      </c>
      <c r="D6" s="45" t="inlineStr">
        <is>
          <t>C</t>
        </is>
      </c>
      <c r="E6" s="45" t="inlineStr">
        <is>
          <t>I</t>
        </is>
      </c>
      <c r="F6" s="45" t="inlineStr">
        <is>
          <t>C</t>
        </is>
      </c>
      <c r="G6" s="45" t="inlineStr">
        <is>
          <t>I</t>
        </is>
      </c>
      <c r="H6" s="43">
        <f>COUNTIF(C6:G6,"A*")</f>
        <v/>
      </c>
      <c r="I6" s="43">
        <f>COUNTIF(C6:G6,"*R*")</f>
        <v/>
      </c>
      <c r="J6" s="43">
        <f>IF(AND(H6=1,I6&gt;=1),"OK","Revisar")</f>
        <v/>
      </c>
    </row>
    <row r="7" ht="30" customHeight="1" s="2">
      <c r="A7" s="43" t="n">
        <v>3</v>
      </c>
      <c r="B7" s="44" t="inlineStr">
        <is>
          <t>Edge Gateway: SQLite, intervalos de 15 min y alertas locales</t>
        </is>
      </c>
      <c r="C7" s="45" t="inlineStr">
        <is>
          <t>A/R</t>
        </is>
      </c>
      <c r="D7" s="45" t="inlineStr">
        <is>
          <t>C</t>
        </is>
      </c>
      <c r="E7" s="45" t="inlineStr">
        <is>
          <t>C</t>
        </is>
      </c>
      <c r="F7" s="45" t="inlineStr">
        <is>
          <t>C</t>
        </is>
      </c>
      <c r="G7" s="45" t="inlineStr">
        <is>
          <t>I</t>
        </is>
      </c>
      <c r="H7" s="43">
        <f>COUNTIF(C7:G7,"A*")</f>
        <v/>
      </c>
      <c r="I7" s="43">
        <f>COUNTIF(C7:G7,"*R*")</f>
        <v/>
      </c>
      <c r="J7" s="43">
        <f>IF(AND(H7=1,I7&gt;=1),"OK","Revisar")</f>
        <v/>
      </c>
    </row>
    <row r="8" ht="30" customHeight="1" s="2">
      <c r="A8" s="43" t="n">
        <v>4</v>
      </c>
      <c r="B8" s="44" t="inlineStr">
        <is>
          <t>Modo offline y sincronización (healthcheck, lotes de 50, idempotencia) y sus pruebas</t>
        </is>
      </c>
      <c r="C8" s="45" t="inlineStr">
        <is>
          <t>A/R</t>
        </is>
      </c>
      <c r="D8" s="45" t="inlineStr">
        <is>
          <t>I</t>
        </is>
      </c>
      <c r="E8" s="45" t="inlineStr">
        <is>
          <t>R</t>
        </is>
      </c>
      <c r="F8" s="45" t="inlineStr">
        <is>
          <t>C</t>
        </is>
      </c>
      <c r="G8" s="45" t="inlineStr">
        <is>
          <t>I</t>
        </is>
      </c>
      <c r="H8" s="43">
        <f>COUNTIF(C8:G8,"A*")</f>
        <v/>
      </c>
      <c r="I8" s="43">
        <f>COUNTIF(C8:G8,"*R*")</f>
        <v/>
      </c>
      <c r="J8" s="43">
        <f>IF(AND(H8=1,I8&gt;=1),"OK","Revisar")</f>
        <v/>
      </c>
    </row>
    <row r="9" ht="30" customHeight="1" s="2">
      <c r="A9" s="43" t="n">
        <v>5</v>
      </c>
      <c r="B9" s="44" t="inlineStr">
        <is>
          <t>Backend AWS: API Gateway, Lambda, DynamoDB, S3 y reglas de alerta</t>
        </is>
      </c>
      <c r="C9" s="45" t="inlineStr">
        <is>
          <t>R</t>
        </is>
      </c>
      <c r="D9" s="45" t="inlineStr">
        <is>
          <t>I</t>
        </is>
      </c>
      <c r="E9" s="45" t="inlineStr">
        <is>
          <t>C</t>
        </is>
      </c>
      <c r="F9" s="45" t="inlineStr">
        <is>
          <t>A/R</t>
        </is>
      </c>
      <c r="G9" s="45" t="inlineStr">
        <is>
          <t>I</t>
        </is>
      </c>
      <c r="H9" s="43">
        <f>COUNTIF(C9:G9,"A*")</f>
        <v/>
      </c>
      <c r="I9" s="43">
        <f>COUNTIF(C9:G9,"*R*")</f>
        <v/>
      </c>
      <c r="J9" s="43">
        <f>IF(AND(H9=1,I9&gt;=1),"OK","Revisar")</f>
        <v/>
      </c>
    </row>
    <row r="10" ht="30" customHeight="1" s="2">
      <c r="A10" s="43" t="n">
        <v>6</v>
      </c>
      <c r="B10" s="44" t="inlineStr">
        <is>
          <t>Dashboard React (vistas por sede, alertas, histórico, panel de demo)</t>
        </is>
      </c>
      <c r="C10" s="45" t="inlineStr">
        <is>
          <t>A/R</t>
        </is>
      </c>
      <c r="D10" s="45" t="inlineStr">
        <is>
          <t>I</t>
        </is>
      </c>
      <c r="E10" s="45" t="inlineStr">
        <is>
          <t>I</t>
        </is>
      </c>
      <c r="F10" s="45" t="inlineStr">
        <is>
          <t>C</t>
        </is>
      </c>
      <c r="G10" s="45" t="inlineStr">
        <is>
          <t>C</t>
        </is>
      </c>
      <c r="H10" s="43">
        <f>COUNTIF(C10:G10,"A*")</f>
        <v/>
      </c>
      <c r="I10" s="43">
        <f>COUNTIF(C10:G10,"*R*")</f>
        <v/>
      </c>
      <c r="J10" s="43">
        <f>IF(AND(H10=1,I10&gt;=1),"OK","Revisar")</f>
        <v/>
      </c>
    </row>
    <row r="11" ht="30" customHeight="1" s="2">
      <c r="A11" s="43" t="n">
        <v>7</v>
      </c>
      <c r="B11" s="44" t="inlineStr">
        <is>
          <t>Seguridad: Cognito con MFA, permisos por usuario, IAM, TLS, VPN documentada, Ley 19.628</t>
        </is>
      </c>
      <c r="C11" s="45" t="inlineStr">
        <is>
          <t>C</t>
        </is>
      </c>
      <c r="D11" s="45" t="inlineStr">
        <is>
          <t>I</t>
        </is>
      </c>
      <c r="E11" s="45" t="inlineStr">
        <is>
          <t>I</t>
        </is>
      </c>
      <c r="F11" s="45" t="inlineStr">
        <is>
          <t>A/R</t>
        </is>
      </c>
      <c r="G11" s="45" t="inlineStr">
        <is>
          <t>I</t>
        </is>
      </c>
      <c r="H11" s="43">
        <f>COUNTIF(C11:G11,"A*")</f>
        <v/>
      </c>
      <c r="I11" s="43">
        <f>COUNTIF(C11:G11,"*R*")</f>
        <v/>
      </c>
      <c r="J11" s="43">
        <f>IF(AND(H11=1,I11&gt;=1),"OK","Revisar")</f>
        <v/>
      </c>
    </row>
    <row r="12" ht="30" customHeight="1" s="2">
      <c r="A12" s="43" t="n">
        <v>8</v>
      </c>
      <c r="B12" s="44" t="inlineStr">
        <is>
          <t>Planificación: roles, RACI, Scrum, PMI y Carta Gantt</t>
        </is>
      </c>
      <c r="C12" s="45" t="inlineStr">
        <is>
          <t>C</t>
        </is>
      </c>
      <c r="D12" s="45" t="inlineStr">
        <is>
          <t>C</t>
        </is>
      </c>
      <c r="E12" s="45" t="inlineStr">
        <is>
          <t>C</t>
        </is>
      </c>
      <c r="F12" s="45" t="inlineStr">
        <is>
          <t>C</t>
        </is>
      </c>
      <c r="G12" s="45" t="inlineStr">
        <is>
          <t>A/R</t>
        </is>
      </c>
      <c r="H12" s="43">
        <f>COUNTIF(C12:G12,"A*")</f>
        <v/>
      </c>
      <c r="I12" s="43">
        <f>COUNTIF(C12:G12,"*R*")</f>
        <v/>
      </c>
      <c r="J12" s="43">
        <f>IF(AND(H12=1,I12&gt;=1),"OK","Revisar")</f>
        <v/>
      </c>
    </row>
    <row r="13" ht="30" customHeight="1" s="2">
      <c r="A13" s="43" t="n">
        <v>9</v>
      </c>
      <c r="B13" s="44" t="inlineStr">
        <is>
          <t>Pruebas integrales y simulación de fallas (corte de red, valores absurdos, alertas)</t>
        </is>
      </c>
      <c r="C13" s="45" t="inlineStr">
        <is>
          <t>A</t>
        </is>
      </c>
      <c r="D13" s="45" t="inlineStr">
        <is>
          <t>R</t>
        </is>
      </c>
      <c r="E13" s="45" t="inlineStr">
        <is>
          <t>R</t>
        </is>
      </c>
      <c r="F13" s="45" t="inlineStr">
        <is>
          <t>C</t>
        </is>
      </c>
      <c r="G13" s="45" t="inlineStr">
        <is>
          <t>C</t>
        </is>
      </c>
      <c r="H13" s="43">
        <f>COUNTIF(C13:G13,"A*")</f>
        <v/>
      </c>
      <c r="I13" s="43">
        <f>COUNTIF(C13:G13,"*R*")</f>
        <v/>
      </c>
      <c r="J13" s="43">
        <f>IF(AND(H13=1,I13&gt;=1),"OK","Revisar")</f>
        <v/>
      </c>
    </row>
    <row r="14" ht="30" customHeight="1" s="2">
      <c r="A14" s="43" t="n">
        <v>10</v>
      </c>
      <c r="B14" s="44" t="inlineStr">
        <is>
          <t>Documentación, Pull Requests, demo y presentación final</t>
        </is>
      </c>
      <c r="C14" s="45" t="inlineStr">
        <is>
          <t>A/R</t>
        </is>
      </c>
      <c r="D14" s="45" t="inlineStr">
        <is>
          <t>R</t>
        </is>
      </c>
      <c r="E14" s="45" t="inlineStr">
        <is>
          <t>R</t>
        </is>
      </c>
      <c r="F14" s="45" t="inlineStr">
        <is>
          <t>R</t>
        </is>
      </c>
      <c r="G14" s="45" t="inlineStr">
        <is>
          <t>R</t>
        </is>
      </c>
      <c r="H14" s="43">
        <f>COUNTIF(C14:G14,"A*")</f>
        <v/>
      </c>
      <c r="I14" s="43">
        <f>COUNTIF(C14:G14,"*R*")</f>
        <v/>
      </c>
      <c r="J14" s="43">
        <f>IF(AND(H14=1,I14&gt;=1),"OK","Revisar")</f>
        <v/>
      </c>
    </row>
    <row r="15" s="2">
      <c r="B15" s="46" t="inlineStr">
        <is>
          <t>Total de tareas como R (hace el trabajo)</t>
        </is>
      </c>
      <c r="C15" s="47">
        <f>COUNTIF(C5:C14,"*R*")</f>
        <v/>
      </c>
      <c r="D15" s="47">
        <f>COUNTIF(D5:D14,"*R*")</f>
        <v/>
      </c>
      <c r="E15" s="47">
        <f>COUNTIF(E5:E14,"*R*")</f>
        <v/>
      </c>
      <c r="F15" s="47">
        <f>COUNTIF(F5:F14,"*R*")</f>
        <v/>
      </c>
      <c r="G15" s="47">
        <f>COUNTIF(G5:G14,"*R*")</f>
        <v/>
      </c>
    </row>
    <row r="16" s="2">
      <c r="B16" s="46" t="inlineStr">
        <is>
          <t>Total de tareas como A (aprueba)</t>
        </is>
      </c>
      <c r="C16" s="47">
        <f>COUNTIF(C5:C14,"A*")</f>
        <v/>
      </c>
      <c r="D16" s="47">
        <f>COUNTIF(D5:D14,"A*")</f>
        <v/>
      </c>
      <c r="E16" s="47">
        <f>COUNTIF(E5:E14,"A*")</f>
        <v/>
      </c>
      <c r="F16" s="47">
        <f>COUNTIF(F5:F14,"A*")</f>
        <v/>
      </c>
      <c r="G16" s="47">
        <f>COUNTIF(G5:G14,"A*")</f>
        <v/>
      </c>
    </row>
    <row r="17" s="2"/>
    <row r="18" s="2">
      <c r="B18" s="48" t="inlineStr">
        <is>
          <t>Leyenda</t>
        </is>
      </c>
    </row>
    <row r="19" s="2">
      <c r="A19" s="49" t="inlineStr">
        <is>
          <t>A/R</t>
        </is>
      </c>
      <c r="B19" s="50" t="inlineStr">
        <is>
          <t>Hace el trabajo y responde por el resultado</t>
        </is>
      </c>
    </row>
    <row r="20" s="2">
      <c r="A20" s="51" t="inlineStr">
        <is>
          <t>A</t>
        </is>
      </c>
      <c r="B20" s="50" t="inlineStr">
        <is>
          <t>Aprueba / responde por el resultado</t>
        </is>
      </c>
    </row>
    <row r="21" s="2">
      <c r="A21" s="52" t="inlineStr">
        <is>
          <t>R</t>
        </is>
      </c>
      <c r="B21" s="50" t="inlineStr">
        <is>
          <t>Responsable de ejecutar</t>
        </is>
      </c>
    </row>
    <row r="22" s="2">
      <c r="A22" s="53" t="inlineStr">
        <is>
          <t>C</t>
        </is>
      </c>
      <c r="B22" s="50" t="inlineStr">
        <is>
          <t>Consultado antes de decidir</t>
        </is>
      </c>
    </row>
    <row r="23" s="2">
      <c r="A23" s="54" t="inlineStr">
        <is>
          <t>I</t>
        </is>
      </c>
      <c r="B23" s="50" t="inlineStr">
        <is>
          <t>Informado del avance</t>
        </is>
      </c>
    </row>
    <row r="24" s="2"/>
    <row r="25" ht="42" customHeight="1" s="2">
      <c r="B25" s="1" t="n"/>
    </row>
    <row r="26" s="2"/>
    <row r="27" s="2"/>
    <row r="28" s="2"/>
    <row r="29" s="2"/>
    <row r="30" s="2"/>
    <row r="31" s="2"/>
    <row r="32" s="2"/>
    <row r="33" s="2"/>
    <row r="34" s="2"/>
  </sheetData>
  <conditionalFormatting sqref="C5:G14">
    <cfRule type="cellIs" priority="2" operator="equal" dxfId="5">
      <formula>"A/R"</formula>
    </cfRule>
    <cfRule type="cellIs" priority="3" operator="equal" dxfId="4">
      <formula>"A"</formula>
    </cfRule>
    <cfRule type="cellIs" priority="4" operator="equal" dxfId="3">
      <formula>"R"</formula>
    </cfRule>
    <cfRule type="cellIs" priority="5" operator="equal" dxfId="2">
      <formula>"C"</formula>
    </cfRule>
    <cfRule type="cellIs" priority="6" operator="equal" dxfId="1">
      <formula>"I"</formula>
    </cfRule>
  </conditionalFormatting>
  <conditionalFormatting sqref="J5:J14">
    <cfRule type="cellIs" priority="7" operator="equal" dxfId="0">
      <formula>"Revisar"</formula>
    </cfRule>
  </conditionalFormatting>
  <dataValidations count="1">
    <dataValidation sqref="C5:G14" showDropDown="0" showInputMessage="0" showErrorMessage="1" allowBlank="1" errorTitle="Valor no válido" error="Usa R, A, A/R, C o I." type="list">
      <formula1>"R,A,A/R,C,I"</formula1>
      <formula2>0</formula2>
    </dataValidation>
  </dataValidations>
  <pageMargins left="0.75" right="0.75" top="1" bottom="1" header="0.511811023622047" footer="0.511811023622047"/>
  <pageSetup orientation="landscape" fitToHeight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zoomScaleNormal="100" workbookViewId="0">
      <pane ySplit="1" topLeftCell="A2" activePane="bottomLeft" state="frozen"/>
      <selection pane="bottomLeft" activeCell="A28" sqref="A28"/>
    </sheetView>
  </sheetViews>
  <sheetFormatPr baseColWidth="10" defaultColWidth="8.7109375" defaultRowHeight="15"/>
  <cols>
    <col width="22" customWidth="1" style="2" min="1" max="1"/>
    <col width="36" customWidth="1" style="2" min="2" max="2"/>
    <col width="62" customWidth="1" style="2" min="3" max="3"/>
    <col width="14" customWidth="1" style="2" min="4" max="5"/>
  </cols>
  <sheetData>
    <row r="1" ht="15" customHeight="1" s="2">
      <c r="A1" s="31" t="inlineStr">
        <is>
          <t>Integrante</t>
        </is>
      </c>
      <c r="B1" s="31" t="inlineStr">
        <is>
          <t>Rol</t>
        </is>
      </c>
      <c r="C1" s="31" t="inlineStr">
        <is>
          <t>Tarea</t>
        </is>
      </c>
      <c r="D1" s="31" t="inlineStr">
        <is>
          <t>Sprint</t>
        </is>
      </c>
      <c r="E1" s="31" t="inlineStr">
        <is>
          <t>Estado</t>
        </is>
      </c>
    </row>
    <row r="2" ht="15" customHeight="1" s="2">
      <c r="A2" s="32" t="inlineStr">
        <is>
          <t>Abraham Castro</t>
        </is>
      </c>
      <c r="B2" s="33" t="inlineStr">
        <is>
          <t>Jefe de proyecto, integración y desarrollo (broker, Edge y dashboard)</t>
        </is>
      </c>
      <c r="C2" s="33" t="inlineStr">
        <is>
          <t>Coordinación del equipo, repositorio y Pull Requests</t>
        </is>
      </c>
      <c r="D2" s="33" t="inlineStr">
        <is>
          <t>Todos</t>
        </is>
      </c>
      <c r="E2" s="33" t="inlineStr">
        <is>
          <t>En curso</t>
        </is>
      </c>
    </row>
    <row r="3" ht="15" customHeight="1" s="2">
      <c r="A3" s="32" t="inlineStr">
        <is>
          <t>Abraham Castro</t>
        </is>
      </c>
      <c r="B3" s="33" t="inlineStr">
        <is>
          <t>Jefe de proyecto, integración y desarrollo (broker, Edge y dashboard)</t>
        </is>
      </c>
      <c r="C3" s="33" t="inlineStr">
        <is>
          <t>Broker MQTT EMQX (TLS, usuario y Client ID por dispositivo)</t>
        </is>
      </c>
      <c r="D3" s="33" t="inlineStr">
        <is>
          <t>Sprint 2</t>
        </is>
      </c>
      <c r="E3" s="33" t="inlineStr">
        <is>
          <t>Listo (PR #9)</t>
        </is>
      </c>
    </row>
    <row r="4" ht="15" customHeight="1" s="2">
      <c r="A4" s="32" t="inlineStr">
        <is>
          <t>Abraham Castro</t>
        </is>
      </c>
      <c r="B4" s="33" t="inlineStr">
        <is>
          <t>Jefe de proyecto, integración y desarrollo (broker, Edge y dashboard)</t>
        </is>
      </c>
      <c r="C4" s="33" t="inlineStr">
        <is>
          <t>Dashboard React con datos simulados y conexión a la API</t>
        </is>
      </c>
      <c r="D4" s="33" t="inlineStr">
        <is>
          <t>Sprint 2 y 3</t>
        </is>
      </c>
      <c r="E4" s="33" t="inlineStr">
        <is>
          <t>En curso</t>
        </is>
      </c>
    </row>
    <row r="5" ht="15" customHeight="1" s="2">
      <c r="A5" s="32" t="inlineStr">
        <is>
          <t>Abraham Castro</t>
        </is>
      </c>
      <c r="B5" s="33" t="inlineStr">
        <is>
          <t>Jefe de proyecto, integración y desarrollo (broker, Edge y dashboard)</t>
        </is>
      </c>
      <c r="C5" s="33" t="inlineStr">
        <is>
          <t>Edge Gateway en Python: SQLite, intervalos de 15 min, alertas y sincronización</t>
        </is>
      </c>
      <c r="D5" s="33" t="inlineStr">
        <is>
          <t>Sprint 3</t>
        </is>
      </c>
      <c r="E5" s="33" t="inlineStr">
        <is>
          <t>En curso</t>
        </is>
      </c>
    </row>
    <row r="6" ht="15" customHeight="1" s="2">
      <c r="A6" s="32" t="inlineStr">
        <is>
          <t>Abraham Castro</t>
        </is>
      </c>
      <c r="B6" s="33" t="inlineStr">
        <is>
          <t>Jefe de proyecto, integración y desarrollo (broker, Edge y dashboard)</t>
        </is>
      </c>
      <c r="C6" s="33" t="inlineStr">
        <is>
          <t>Backend AWS junto a Felipe (Lambda, DynamoDB, API Gateway, S3)</t>
        </is>
      </c>
      <c r="D6" s="33" t="inlineStr">
        <is>
          <t>Sprint 2</t>
        </is>
      </c>
      <c r="E6" s="33" t="inlineStr">
        <is>
          <t>Listo (falta re-deploy)</t>
        </is>
      </c>
    </row>
    <row r="7" ht="15" customHeight="1" s="2">
      <c r="A7" s="32" t="inlineStr">
        <is>
          <t>Abraham Castro</t>
        </is>
      </c>
      <c r="B7" s="33" t="inlineStr">
        <is>
          <t>Jefe de proyecto, integración y desarrollo (broker, Edge y dashboard)</t>
        </is>
      </c>
      <c r="C7" s="33" t="inlineStr">
        <is>
          <t>Casos de prueba y ensayo de la demo</t>
        </is>
      </c>
      <c r="D7" s="33" t="inlineStr">
        <is>
          <t>Sprint 3</t>
        </is>
      </c>
      <c r="E7" s="33" t="inlineStr">
        <is>
          <t>Pendiente</t>
        </is>
      </c>
    </row>
    <row r="8" ht="15" customHeight="1" s="2">
      <c r="A8" s="32" t="inlineStr">
        <is>
          <t>Sebastián Fuentes</t>
        </is>
      </c>
      <c r="B8" s="33" t="inlineStr">
        <is>
          <t>Ingeniero IoT y simulación</t>
        </is>
      </c>
      <c r="C8" s="33" t="inlineStr">
        <is>
          <t>Sketch ESP32 en Wokwi (Local 1 y Local 2)</t>
        </is>
      </c>
      <c r="D8" s="33" t="inlineStr">
        <is>
          <t>Sprint 2 y 3</t>
        </is>
      </c>
      <c r="E8" s="33" t="inlineStr">
        <is>
          <t>En curso</t>
        </is>
      </c>
    </row>
    <row r="9" ht="15" customHeight="1" s="2">
      <c r="A9" s="32" t="inlineStr">
        <is>
          <t>Sebastián Fuentes</t>
        </is>
      </c>
      <c r="B9" s="33" t="inlineStr">
        <is>
          <t>Ingeniero IoT y simulación</t>
        </is>
      </c>
      <c r="C9" s="33" t="inlineStr">
        <is>
          <t>Sensores simulados: CT (kW), caudalímetro (agua) y UV</t>
        </is>
      </c>
      <c r="D9" s="33" t="inlineStr">
        <is>
          <t>Sprint 3</t>
        </is>
      </c>
      <c r="E9" s="33" t="inlineStr">
        <is>
          <t>En curso</t>
        </is>
      </c>
    </row>
    <row r="10" ht="15" customHeight="1" s="2">
      <c r="A10" s="32" t="inlineStr">
        <is>
          <t>Sebastián Fuentes</t>
        </is>
      </c>
      <c r="B10" s="33" t="inlineStr">
        <is>
          <t>Ingeniero IoT y simulación</t>
        </is>
      </c>
      <c r="C10" s="33" t="inlineStr">
        <is>
          <t>Publicación MQTT del JSON (device_id + seq + ts) en el broker</t>
        </is>
      </c>
      <c r="D10" s="33" t="inlineStr">
        <is>
          <t>Sprint 3</t>
        </is>
      </c>
      <c r="E10" s="33" t="inlineStr">
        <is>
          <t>En curso</t>
        </is>
      </c>
    </row>
    <row r="11" ht="15" customHeight="1" s="2">
      <c r="A11" s="32" t="inlineStr">
        <is>
          <t>Sebastián Fuentes</t>
        </is>
      </c>
      <c r="B11" s="33" t="inlineStr">
        <is>
          <t>Ingeniero IoT y simulación</t>
        </is>
      </c>
      <c r="C11" s="33" t="inlineStr">
        <is>
          <t>NTP y buffer de lecturas sin conexión</t>
        </is>
      </c>
      <c r="D11" s="33" t="inlineStr">
        <is>
          <t>Sprint 3</t>
        </is>
      </c>
      <c r="E11" s="33" t="inlineStr">
        <is>
          <t>Pendiente</t>
        </is>
      </c>
    </row>
    <row r="12" ht="15" customHeight="1" s="2">
      <c r="A12" s="32" t="inlineStr">
        <is>
          <t>Sebastián Fuentes</t>
        </is>
      </c>
      <c r="B12" s="33" t="inlineStr">
        <is>
          <t>Ingeniero IoT y simulación</t>
        </is>
      </c>
      <c r="C12" s="33" t="inlineStr">
        <is>
          <t>Escenarios de prueba de alertas (kW +20 %, UV ≥ 8, agua)</t>
        </is>
      </c>
      <c r="D12" s="33" t="inlineStr">
        <is>
          <t>Sprint 3</t>
        </is>
      </c>
      <c r="E12" s="33" t="inlineStr">
        <is>
          <t>Pendiente</t>
        </is>
      </c>
    </row>
    <row r="13" ht="15" customHeight="1" s="2">
      <c r="A13" s="32" t="inlineStr">
        <is>
          <t>Lisandra González</t>
        </is>
      </c>
      <c r="B13" s="33" t="inlineStr">
        <is>
          <t>Pruebas del Edge y modo offline</t>
        </is>
      </c>
      <c r="C13" s="33" t="inlineStr">
        <is>
          <t>Probar el Edge con el simulador y con Wokwi</t>
        </is>
      </c>
      <c r="D13" s="33" t="inlineStr">
        <is>
          <t>Sprint 3</t>
        </is>
      </c>
      <c r="E13" s="33" t="inlineStr">
        <is>
          <t>Pendiente</t>
        </is>
      </c>
    </row>
    <row r="14" ht="15" customHeight="1" s="2">
      <c r="A14" s="32" t="inlineStr">
        <is>
          <t>Lisandra González</t>
        </is>
      </c>
      <c r="B14" s="33" t="inlineStr">
        <is>
          <t>Pruebas del Edge y modo offline</t>
        </is>
      </c>
      <c r="C14" s="33" t="inlineStr">
        <is>
          <t>Simulación de corte de internet y evidencias del modo offline</t>
        </is>
      </c>
      <c r="D14" s="33" t="inlineStr">
        <is>
          <t>Sprint 3</t>
        </is>
      </c>
      <c r="E14" s="33" t="inlineStr">
        <is>
          <t>Pendiente</t>
        </is>
      </c>
    </row>
    <row r="15" ht="15" customHeight="1" s="2">
      <c r="A15" s="32" t="inlineStr">
        <is>
          <t>Lisandra González</t>
        </is>
      </c>
      <c r="B15" s="33" t="inlineStr">
        <is>
          <t>Pruebas del Edge y modo offline</t>
        </is>
      </c>
      <c r="C15" s="33" t="inlineStr">
        <is>
          <t>Verificar la sincronización al volver la conexión (sin duplicados)</t>
        </is>
      </c>
      <c r="D15" s="33" t="inlineStr">
        <is>
          <t>Sprint 3</t>
        </is>
      </c>
      <c r="E15" s="33" t="inlineStr">
        <is>
          <t>Pendiente</t>
        </is>
      </c>
    </row>
    <row r="16" ht="15" customHeight="1" s="2">
      <c r="A16" s="32" t="inlineStr">
        <is>
          <t>Lisandra González</t>
        </is>
      </c>
      <c r="B16" s="33" t="inlineStr">
        <is>
          <t>Pruebas del Edge y modo offline</t>
        </is>
      </c>
      <c r="C16" s="33" t="inlineStr">
        <is>
          <t>Despliegue del Edge en la Raspberry Pi</t>
        </is>
      </c>
      <c r="D16" s="33" t="inlineStr">
        <is>
          <t>Implementación</t>
        </is>
      </c>
      <c r="E16" s="33" t="inlineStr">
        <is>
          <t>Pendiente</t>
        </is>
      </c>
    </row>
    <row r="17" ht="15" customHeight="1" s="2">
      <c r="A17" s="32" t="inlineStr">
        <is>
          <t>Felipe Murúa</t>
        </is>
      </c>
      <c r="B17" s="33" t="inlineStr">
        <is>
          <t>Cloud, backend y ciberseguridad</t>
        </is>
      </c>
      <c r="C17" s="33" t="inlineStr">
        <is>
          <t>API Gateway + Lambda de ingesta y consulta</t>
        </is>
      </c>
      <c r="D17" s="33" t="inlineStr">
        <is>
          <t>Sprint 2</t>
        </is>
      </c>
      <c r="E17" s="33" t="inlineStr">
        <is>
          <t>Listo</t>
        </is>
      </c>
    </row>
    <row r="18" ht="15" customHeight="1" s="2">
      <c r="A18" s="32" t="inlineStr">
        <is>
          <t>Felipe Murúa</t>
        </is>
      </c>
      <c r="B18" s="33" t="inlineStr">
        <is>
          <t>Cloud, backend y ciberseguridad</t>
        </is>
      </c>
      <c r="C18" s="33" t="inlineStr">
        <is>
          <t>Tablas en DynamoDB (intervalos y alertas)</t>
        </is>
      </c>
      <c r="D18" s="33" t="inlineStr">
        <is>
          <t>Sprint 2</t>
        </is>
      </c>
      <c r="E18" s="33" t="inlineStr">
        <is>
          <t>Listo</t>
        </is>
      </c>
    </row>
    <row r="19" ht="15" customHeight="1" s="2">
      <c r="A19" s="32" t="inlineStr">
        <is>
          <t>Felipe Murúa</t>
        </is>
      </c>
      <c r="B19" s="33" t="inlineStr">
        <is>
          <t>Cloud, backend y ciberseguridad</t>
        </is>
      </c>
      <c r="C19" s="33" t="inlineStr">
        <is>
          <t>Reglas de alerta (+20 % kW, UV ≥ 8, agua y fugas)</t>
        </is>
      </c>
      <c r="D19" s="33" t="inlineStr">
        <is>
          <t>Sprint 2</t>
        </is>
      </c>
      <c r="E19" s="33" t="inlineStr">
        <is>
          <t>Listo</t>
        </is>
      </c>
    </row>
    <row r="20" ht="15" customHeight="1" s="2">
      <c r="A20" s="32" t="inlineStr">
        <is>
          <t>Felipe Murúa</t>
        </is>
      </c>
      <c r="B20" s="33" t="inlineStr">
        <is>
          <t>Cloud, backend y ciberseguridad</t>
        </is>
      </c>
      <c r="C20" s="33" t="inlineStr">
        <is>
          <t>Dashboard publicado en S3</t>
        </is>
      </c>
      <c r="D20" s="33" t="inlineStr">
        <is>
          <t>Sprint 2</t>
        </is>
      </c>
      <c r="E20" s="33" t="inlineStr">
        <is>
          <t>Listo</t>
        </is>
      </c>
    </row>
    <row r="21" ht="15" customHeight="1" s="2">
      <c r="A21" s="32" t="inlineStr">
        <is>
          <t>Felipe Murúa</t>
        </is>
      </c>
      <c r="B21" s="33" t="inlineStr">
        <is>
          <t>Cloud, backend y ciberseguridad</t>
        </is>
      </c>
      <c r="C21" s="33" t="inlineStr">
        <is>
          <t>Re-deploy de la Lambda con alertas del Edge</t>
        </is>
      </c>
      <c r="D21" s="33" t="inlineStr">
        <is>
          <t>Sprint 3</t>
        </is>
      </c>
      <c r="E21" s="33" t="inlineStr">
        <is>
          <t>Pendiente</t>
        </is>
      </c>
    </row>
    <row r="22" ht="15" customHeight="1" s="2">
      <c r="A22" s="32" t="inlineStr">
        <is>
          <t>Felipe Murúa</t>
        </is>
      </c>
      <c r="B22" s="33" t="inlineStr">
        <is>
          <t>Cloud, backend y ciberseguridad</t>
        </is>
      </c>
      <c r="C22" s="33" t="inlineStr">
        <is>
          <t>Cognito con MFA</t>
        </is>
      </c>
      <c r="D22" s="33" t="inlineStr">
        <is>
          <t>Sprint 3</t>
        </is>
      </c>
      <c r="E22" s="33" t="inlineStr">
        <is>
          <t>Pendiente</t>
        </is>
      </c>
    </row>
    <row r="23" ht="15" customHeight="1" s="2">
      <c r="A23" s="32" t="inlineStr">
        <is>
          <t>Felipe Murúa</t>
        </is>
      </c>
      <c r="B23" s="33" t="inlineStr">
        <is>
          <t>Cloud, backend y ciberseguridad</t>
        </is>
      </c>
      <c r="C23" s="33" t="inlineStr">
        <is>
          <t>IAM, TLS, clave de ingesta y cumplimiento Ley 19.628</t>
        </is>
      </c>
      <c r="D23" s="33" t="inlineStr">
        <is>
          <t>Sprint 3</t>
        </is>
      </c>
      <c r="E23" s="33" t="inlineStr">
        <is>
          <t>En curso</t>
        </is>
      </c>
    </row>
    <row r="24" ht="15" customHeight="1" s="2">
      <c r="A24" s="32" t="inlineStr">
        <is>
          <t>Bárbara Saavedra</t>
        </is>
      </c>
      <c r="B24" s="33" t="inlineStr">
        <is>
          <t>Planificación y frontend</t>
        </is>
      </c>
      <c r="C24" s="33" t="inlineStr">
        <is>
          <t>Roles y responsabilidades del equipo</t>
        </is>
      </c>
      <c r="D24" s="33" t="inlineStr">
        <is>
          <t>Sprint 3</t>
        </is>
      </c>
      <c r="E24" s="33" t="inlineStr">
        <is>
          <t>En revisión (PR #11)</t>
        </is>
      </c>
    </row>
    <row r="25" ht="15" customHeight="1" s="2">
      <c r="A25" s="32" t="inlineStr">
        <is>
          <t>Bárbara Saavedra</t>
        </is>
      </c>
      <c r="B25" s="33" t="inlineStr">
        <is>
          <t>Planificación y frontend</t>
        </is>
      </c>
      <c r="C25" s="33" t="inlineStr">
        <is>
          <t>Matriz RACI</t>
        </is>
      </c>
      <c r="D25" s="33" t="inlineStr">
        <is>
          <t>Sprint 3</t>
        </is>
      </c>
      <c r="E25" s="33" t="inlineStr">
        <is>
          <t>En revisión (PR #11)</t>
        </is>
      </c>
    </row>
    <row r="26" ht="15" customHeight="1" s="2">
      <c r="A26" s="32" t="inlineStr">
        <is>
          <t>Bárbara Saavedra</t>
        </is>
      </c>
      <c r="B26" s="33" t="inlineStr">
        <is>
          <t>Planificación y frontend</t>
        </is>
      </c>
      <c r="C26" s="33" t="inlineStr">
        <is>
          <t>Planificación Scrum y fases PMI</t>
        </is>
      </c>
      <c r="D26" s="33" t="inlineStr">
        <is>
          <t>Sprint 3</t>
        </is>
      </c>
      <c r="E26" s="33" t="inlineStr">
        <is>
          <t>En curso</t>
        </is>
      </c>
    </row>
    <row r="27">
      <c r="A27" s="32" t="inlineStr">
        <is>
          <t>Bárbara Saavedra</t>
        </is>
      </c>
      <c r="B27" s="33" t="inlineStr">
        <is>
          <t>Planificación y frontend</t>
        </is>
      </c>
      <c r="C27" s="33" t="inlineStr">
        <is>
          <t>Carta Gantt hasta la puesta en marcha</t>
        </is>
      </c>
      <c r="D27" s="33" t="inlineStr">
        <is>
          <t>Sprint 3</t>
        </is>
      </c>
      <c r="E27" s="33" t="inlineStr">
        <is>
          <t>En revisión (PR #11)</t>
        </is>
      </c>
    </row>
    <row r="28" ht="15" customHeight="1" s="2">
      <c r="A28" s="32" t="inlineStr">
        <is>
          <t>Bárbara Saavedra</t>
        </is>
      </c>
      <c r="B28" s="33" t="inlineStr">
        <is>
          <t>Planificación y frontend</t>
        </is>
      </c>
      <c r="C28" s="33" t="inlineStr">
        <is>
          <t>Capacitación de usuarios del dashboard</t>
        </is>
      </c>
      <c r="D28" s="33" t="inlineStr">
        <is>
          <t>Implementación</t>
        </is>
      </c>
      <c r="E28" s="33" t="inlineStr">
        <is>
          <t>Pendiente</t>
        </is>
      </c>
    </row>
  </sheetData>
  <autoFilter ref="A1:E26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2026-10-14T23:52:19Z</dcterms:created>
  <dcterms:modified xmlns:dcterms="http://purl.org/dc/terms/" xmlns:xsi="http://www.w3.org/2001/XMLSchema-instance" xsi:type="dcterms:W3CDTF">2026-10-19T01:01:05Z</dcterms:modified>
  <cp:lastModifiedBy>PN-Alumno</cp:lastModifiedBy>
  <cp:revision>0</cp:revision>
</cp:coreProperties>
</file>