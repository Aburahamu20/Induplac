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rgos" sheetId="1" state="visible" r:id="rId3"/>
    <sheet name="Tareas por integrante" sheetId="2" state="visible" r:id="rId4"/>
    <sheet name="RACI" sheetId="3" state="visible" r:id="rId5"/>
    <sheet name="Carta Gantt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5" authorId="0">
      <text>
        <r>
          <rPr>
            <sz val="10"/>
            <rFont val="Arial"/>
            <family val="2"/>
          </rPr>
          <t xml:space="preserve">Ejemplo de formato: 'Organización y documentación técnica'. Cada integrante escribe la suya.</t>
        </r>
      </text>
    </comment>
  </commentList>
</comments>
</file>

<file path=xl/sharedStrings.xml><?xml version="1.0" encoding="utf-8"?>
<sst xmlns="http://schemas.openxmlformats.org/spreadsheetml/2006/main" count="435" uniqueCount="223">
  <si>
    <t xml:space="preserve">Induplac IoT — Cargos del equipo (Nota 2, punto 2)</t>
  </si>
  <si>
    <t xml:space="preserve">Autora: Bárbara Saavedra · actualizado 19/10/2026 · Las celdas amarillas las completa cada integrante.</t>
  </si>
  <si>
    <t xml:space="preserve">Integrante</t>
  </si>
  <si>
    <t xml:space="preserve">Cargo / rol</t>
  </si>
  <si>
    <t xml:space="preserve">Responsabilidades principales</t>
  </si>
  <si>
    <t xml:space="preserve">Carpeta</t>
  </si>
  <si>
    <t xml:space="preserve">Mayor carga</t>
  </si>
  <si>
    <t xml:space="preserve">Fortaleza</t>
  </si>
  <si>
    <t xml:space="preserve">Abraham Castro</t>
  </si>
  <si>
    <t xml:space="preserve">Jefe de proyecto, integración y desarrollo (broker, Edge y dashboard)</t>
  </si>
  <si>
    <t xml:space="preserve">Coordina el equipo y el repositorio (README, docs/, ramas y Pull Requests). Creó el broker EMQX, el dashboard React y el Edge Gateway en Python; arma el backend AWS y la base RDS junto a Felipe. Prepara los casos de prueba y la demo.</t>
  </si>
  <si>
    <t xml:space="preserve">docs/, dashboard/, edge/</t>
  </si>
  <si>
    <t xml:space="preserve">Todos (transversal)</t>
  </si>
  <si>
    <t xml:space="preserve">Sebastián Fuentes</t>
  </si>
  <si>
    <t xml:space="preserve">Ingeniero IoT y simulación</t>
  </si>
  <si>
    <t xml:space="preserve">Sketch del ESP32 en Wokwi (Local 1 y Local 2): sensores simulados (CT, caudalímetro, UV), NTP, buffer de lecturas y publicación del JSON por MQTT (device_id + seq + ts). Escenarios de prueba de alertas.</t>
  </si>
  <si>
    <t xml:space="preserve">sensors/, simulation/</t>
  </si>
  <si>
    <t xml:space="preserve">Sprint 2 y 3</t>
  </si>
  <si>
    <t xml:space="preserve">Lisandra González</t>
  </si>
  <si>
    <t xml:space="preserve">Pruebas del Edge y modo offline</t>
  </si>
  <si>
    <t xml:space="preserve">Prueba el Edge Gateway con el simulador y con Wokwi, ejecuta la simulación de corte de internet, verifica la sincronización al volver la conexión (sin duplicados) y documenta las evidencias. En la implementación, despliega el Edge en la Raspberry Pi.</t>
  </si>
  <si>
    <t xml:space="preserve">edge/</t>
  </si>
  <si>
    <t xml:space="preserve">Sprint 3</t>
  </si>
  <si>
    <t xml:space="preserve">Felipe Murúa</t>
  </si>
  <si>
    <t xml:space="preserve">Cloud, backend y ciberseguridad</t>
  </si>
  <si>
    <t xml:space="preserve">AWS en el Learner Lab: API Gateway, Lambda (Python), DynamoDB, RDS PostgreSQL (permisos, umbrales y catálogo) y S3 para publicar el dashboard; reglas de alerta; Cognito con MFA; IAM, TLS y cumplimiento de la Ley 19.628.</t>
  </si>
  <si>
    <t xml:space="preserve">backend/, infrastructure/</t>
  </si>
  <si>
    <t xml:space="preserve">Bárbara Saavedra</t>
  </si>
  <si>
    <t xml:space="preserve">Planificación y frontend</t>
  </si>
  <si>
    <t xml:space="preserve">Roles, matriz RACI, planificación Scrum y PMI, Carta Gantt, modelo Cloud, tecnologías y conclusiones. Apoya el dashboard (revisión de vistas) y la capacitación de usuarios en la implementación.</t>
  </si>
  <si>
    <t xml:space="preserve">docs/, dashboard/</t>
  </si>
  <si>
    <t xml:space="preserve">Sprint 3 e implementación</t>
  </si>
  <si>
    <t xml:space="preserve">Roles Scrum (MVP)</t>
  </si>
  <si>
    <t xml:space="preserve">Rol Scrum</t>
  </si>
  <si>
    <t xml:space="preserve">Qué hace</t>
  </si>
  <si>
    <t xml:space="preserve">Product Owner</t>
  </si>
  <si>
    <t xml:space="preserve">Prioriza qué se hace primero según la pauta y las necesidades de la empresa.</t>
  </si>
  <si>
    <t xml:space="preserve">Scrum Master</t>
  </si>
  <si>
    <t xml:space="preserve">Cuida que el equipo avance, quita bloqueos y mantiene el tablero al día.</t>
  </si>
  <si>
    <t xml:space="preserve">Equipo de desarrollo</t>
  </si>
  <si>
    <t xml:space="preserve">Los 5 integrantes</t>
  </si>
  <si>
    <t xml:space="preserve">Construyen y prueban cada parte del MVP.</t>
  </si>
  <si>
    <t xml:space="preserve">Tareas por integrante (participación de cada uno)</t>
  </si>
  <si>
    <t xml:space="preserve">Tarea</t>
  </si>
  <si>
    <t xml:space="preserve">Sprint</t>
  </si>
  <si>
    <t xml:space="preserve">Estado</t>
  </si>
  <si>
    <t xml:space="preserve">Abraham</t>
  </si>
  <si>
    <t xml:space="preserve">Coordinación del equipo, repositorio y Pull Requests</t>
  </si>
  <si>
    <t xml:space="preserve">Todos</t>
  </si>
  <si>
    <t xml:space="preserve">En curso</t>
  </si>
  <si>
    <t xml:space="preserve">Broker MQTT EMQX (TLS, usuario y Client ID por dispositivo)</t>
  </si>
  <si>
    <t xml:space="preserve">Sprint 2</t>
  </si>
  <si>
    <t xml:space="preserve">Listo (PR #9)</t>
  </si>
  <si>
    <t xml:space="preserve">Dashboard React con datos simulados y conexión a la API</t>
  </si>
  <si>
    <t xml:space="preserve">Edge Gateway en Python: SQLite, intervalos de 15 min, alertas y sincronización</t>
  </si>
  <si>
    <t xml:space="preserve">Backend AWS y base RDS junto a Felipe</t>
  </si>
  <si>
    <t xml:space="preserve">Casos de prueba y ensayo de la demo</t>
  </si>
  <si>
    <t xml:space="preserve">Pendiente</t>
  </si>
  <si>
    <t xml:space="preserve">Sebastián</t>
  </si>
  <si>
    <t xml:space="preserve">Sketch ESP32 en Wokwi (Local 1 y Local 2)</t>
  </si>
  <si>
    <t xml:space="preserve">Sensores simulados: CT (kW), caudalímetro (agua) y UV</t>
  </si>
  <si>
    <t xml:space="preserve">Publicación MQTT del JSON (device_id + seq + ts) en el broker</t>
  </si>
  <si>
    <t xml:space="preserve">NTP y buffer de lecturas sin conexión</t>
  </si>
  <si>
    <t xml:space="preserve">Escenarios de prueba de alertas (kW +20 %, UV ≥ 8, agua)</t>
  </si>
  <si>
    <t xml:space="preserve">Lisandra</t>
  </si>
  <si>
    <t xml:space="preserve">Probar el Edge con el simulador y con Wokwi</t>
  </si>
  <si>
    <t xml:space="preserve">Simulación de corte de internet y evidencias del modo offline</t>
  </si>
  <si>
    <t xml:space="preserve">Verificar la sincronización al volver la conexión (sin duplicados)</t>
  </si>
  <si>
    <t xml:space="preserve">Despliegue del Edge en la Raspberry Pi</t>
  </si>
  <si>
    <t xml:space="preserve">Implementación</t>
  </si>
  <si>
    <t xml:space="preserve">Felipe</t>
  </si>
  <si>
    <t xml:space="preserve">API Gateway + Lambda de ingesta y consulta</t>
  </si>
  <si>
    <t xml:space="preserve">Listo</t>
  </si>
  <si>
    <t xml:space="preserve">Tablas en DynamoDB (intervalos y alertas)</t>
  </si>
  <si>
    <t xml:space="preserve">Reglas de alerta (+20 % kW, UV ≥ 8, agua y fugas)</t>
  </si>
  <si>
    <t xml:space="preserve">Dashboard publicado en S3</t>
  </si>
  <si>
    <t xml:space="preserve">RDS PostgreSQL: permisos, umbrales y catálogo (se enciende para la demo)</t>
  </si>
  <si>
    <t xml:space="preserve">Re-deploy de la Lambda con alertas del Edge</t>
  </si>
  <si>
    <t xml:space="preserve">Cognito con MFA</t>
  </si>
  <si>
    <t xml:space="preserve">IAM, TLS, clave de ingesta y cumplimiento Ley 19.628</t>
  </si>
  <si>
    <t xml:space="preserve">Bárbara</t>
  </si>
  <si>
    <t xml:space="preserve">Roles y responsabilidades del equipo</t>
  </si>
  <si>
    <t xml:space="preserve">Listo (PR #11)</t>
  </si>
  <si>
    <t xml:space="preserve">Matriz RACI</t>
  </si>
  <si>
    <t xml:space="preserve">Planificación Scrum y fases PMI</t>
  </si>
  <si>
    <t xml:space="preserve">Listo (PR #12)</t>
  </si>
  <si>
    <t xml:space="preserve">Carta Gantt hasta la puesta en marcha</t>
  </si>
  <si>
    <t xml:space="preserve">Listo (PR #11, actualizada PR #15)</t>
  </si>
  <si>
    <t xml:space="preserve">Modelo Cloud y tecnologías con su aporte</t>
  </si>
  <si>
    <t xml:space="preserve">Listo (PR #13)</t>
  </si>
  <si>
    <t xml:space="preserve">Conclusiones y defensa</t>
  </si>
  <si>
    <t xml:space="preserve">Listo (PR #14)</t>
  </si>
  <si>
    <t xml:space="preserve">Capacitación de usuarios del dashboard</t>
  </si>
  <si>
    <t xml:space="preserve">Resumen</t>
  </si>
  <si>
    <t xml:space="preserve">Tareas</t>
  </si>
  <si>
    <t xml:space="preserve">Listas</t>
  </si>
  <si>
    <t xml:space="preserve">En curso / pendientes</t>
  </si>
  <si>
    <t xml:space="preserve">Matriz RACI (Nota 2, punto 3)</t>
  </si>
  <si>
    <t xml:space="preserve">R = hace el trabajo · A = responde por el resultado (uno solo) · C = se consulta · I = se informa · A/R = hace y responde</t>
  </si>
  <si>
    <t xml:space="preserve">N.º</t>
  </si>
  <si>
    <t xml:space="preserve">Actividad</t>
  </si>
  <si>
    <t xml:space="preserve">Abraham Castro
Jefe de proyecto</t>
  </si>
  <si>
    <t xml:space="preserve">Sebastián Fuentes
IoT y simulación</t>
  </si>
  <si>
    <t xml:space="preserve">Lisandra González
Pruebas Edge y offline</t>
  </si>
  <si>
    <t xml:space="preserve">Felipe Murúa
Cloud y ciberseguridad</t>
  </si>
  <si>
    <t xml:space="preserve">Bárbara Saavedra
Planificación y frontend</t>
  </si>
  <si>
    <t xml:space="preserve">Control</t>
  </si>
  <si>
    <t xml:space="preserve">Captura IoT: ESP32 en Wokwi, payload JSON (device_id + seq + ts) y publicación MQTT</t>
  </si>
  <si>
    <t xml:space="preserve">C</t>
  </si>
  <si>
    <t xml:space="preserve">A/R</t>
  </si>
  <si>
    <t xml:space="preserve">I</t>
  </si>
  <si>
    <t xml:space="preserve">Edge Gateway: SQLite, intervalos de 15 min y alertas locales</t>
  </si>
  <si>
    <t xml:space="preserve">Modo offline y sincronización (healthcheck, lotes de 50, idempotencia) y sus pruebas</t>
  </si>
  <si>
    <t xml:space="preserve">R</t>
  </si>
  <si>
    <t xml:space="preserve">Backend AWS: API Gateway, Lambda, DynamoDB, RDS PostgreSQL, S3 y reglas de alerta</t>
  </si>
  <si>
    <t xml:space="preserve">Dashboard React (vistas por sede, alertas, histórico, panel de demo)</t>
  </si>
  <si>
    <t xml:space="preserve">Seguridad: Cognito con MFA, permisos por usuario, IAM, TLS, VPN documentada, Ley 19.628</t>
  </si>
  <si>
    <t xml:space="preserve">Planificación: roles, RACI, Scrum, PMI y Carta Gantt</t>
  </si>
  <si>
    <t xml:space="preserve">Pruebas integrales y simulación de fallas (corte de red, valores absurdos, alertas)</t>
  </si>
  <si>
    <t xml:space="preserve">A</t>
  </si>
  <si>
    <t xml:space="preserve">Documentación, Pull Requests, demo y presentación final</t>
  </si>
  <si>
    <t xml:space="preserve">Actividades como R (incluye A/R)</t>
  </si>
  <si>
    <t xml:space="preserve">Actividades como A (incluye A/R)</t>
  </si>
  <si>
    <t xml:space="preserve">Control: cada actividad debe tener al menos un R y un solo A (la pauta pide 6 a 10 actividades).</t>
  </si>
  <si>
    <t xml:space="preserve">Carta Gantt — MVP (Scrum) + implementación en Induplac (PMI) (Nota 2, punto 10)</t>
  </si>
  <si>
    <t xml:space="preserve">Inicio del proyecto (lunes semana 1):</t>
  </si>
  <si>
    <t xml:space="preserve">Cambia esta fecha o las de Inicio/Duración (azul) y todo se recalcula. ■ = semana de trabajo · ◆ = hito</t>
  </si>
  <si>
    <t xml:space="preserve">ID</t>
  </si>
  <si>
    <t xml:space="preserve">Responsable</t>
  </si>
  <si>
    <t xml:space="preserve">Sprint / Fase PMI</t>
  </si>
  <si>
    <t xml:space="preserve">Inicio</t>
  </si>
  <si>
    <t xml:space="preserve">Duración (sem)</t>
  </si>
  <si>
    <t xml:space="preserve">Fin</t>
  </si>
  <si>
    <t xml:space="preserve">Depende de</t>
  </si>
  <si>
    <t xml:space="preserve">S1</t>
  </si>
  <si>
    <t xml:space="preserve">S2</t>
  </si>
  <si>
    <t xml:space="preserve">S3</t>
  </si>
  <si>
    <t xml:space="preserve">S4</t>
  </si>
  <si>
    <t xml:space="preserve">S5</t>
  </si>
  <si>
    <t xml:space="preserve">S6</t>
  </si>
  <si>
    <t xml:space="preserve">S7</t>
  </si>
  <si>
    <t xml:space="preserve">S8</t>
  </si>
  <si>
    <t xml:space="preserve">S9</t>
  </si>
  <si>
    <t xml:space="preserve">S10</t>
  </si>
  <si>
    <t xml:space="preserve">S11</t>
  </si>
  <si>
    <t xml:space="preserve">S12</t>
  </si>
  <si>
    <t xml:space="preserve">Lunes de cada semana →</t>
  </si>
  <si>
    <t xml:space="preserve">1</t>
  </si>
  <si>
    <t xml:space="preserve">Sprint 1 – Diseño y documentación</t>
  </si>
  <si>
    <t xml:space="preserve">Sprint 1</t>
  </si>
  <si>
    <t xml:space="preserve">1.1</t>
  </si>
  <si>
    <t xml:space="preserve">Contexto, arquitectura y decisiones técnicas (docs/)</t>
  </si>
  <si>
    <t xml:space="preserve">—</t>
  </si>
  <si>
    <t xml:space="preserve">1.2</t>
  </si>
  <si>
    <t xml:space="preserve">Pauta Nota 2, roles, RACI, Scrum/PMI, Cloud, conclusiones y Carta Gantt</t>
  </si>
  <si>
    <t xml:space="preserve">2</t>
  </si>
  <si>
    <t xml:space="preserve">Sprint 2 – Captura y visualización</t>
  </si>
  <si>
    <t xml:space="preserve">2.1</t>
  </si>
  <si>
    <t xml:space="preserve">Contrato de datos del dashboard y formato de telemetría</t>
  </si>
  <si>
    <t xml:space="preserve">2.2</t>
  </si>
  <si>
    <t xml:space="preserve">2.3</t>
  </si>
  <si>
    <t xml:space="preserve">Dashboard React con datos simulados</t>
  </si>
  <si>
    <t xml:space="preserve">2.4</t>
  </si>
  <si>
    <t xml:space="preserve">Backend AWS: API Gateway, Lambda, DynamoDB y S3</t>
  </si>
  <si>
    <t xml:space="preserve">3</t>
  </si>
  <si>
    <t xml:space="preserve">Sprint 3 – Integración híbrida y demo</t>
  </si>
  <si>
    <t xml:space="preserve">3.1</t>
  </si>
  <si>
    <t xml:space="preserve">ESP32 en Wokwi publicando por MQTT</t>
  </si>
  <si>
    <t xml:space="preserve">3.2</t>
  </si>
  <si>
    <t xml:space="preserve">Edge Gateway: SQLite, intervalos, alertas y sincronización</t>
  </si>
  <si>
    <t xml:space="preserve">2.2, 2.4</t>
  </si>
  <si>
    <t xml:space="preserve">3.3</t>
  </si>
  <si>
    <t xml:space="preserve">3.4</t>
  </si>
  <si>
    <t xml:space="preserve">2.4, 3.3</t>
  </si>
  <si>
    <t xml:space="preserve">3.5</t>
  </si>
  <si>
    <t xml:space="preserve">Pruebas del Edge y simulación de corte de internet</t>
  </si>
  <si>
    <t xml:space="preserve">3.6</t>
  </si>
  <si>
    <t xml:space="preserve">3.1, 3.2, 3.3</t>
  </si>
  <si>
    <t xml:space="preserve">4</t>
  </si>
  <si>
    <t xml:space="preserve">Implementación en Induplac (PMI)</t>
  </si>
  <si>
    <t xml:space="preserve">PMI</t>
  </si>
  <si>
    <t xml:space="preserve">4.1</t>
  </si>
  <si>
    <t xml:space="preserve">Inicio: validar alcance y criterios de éxito con Induplac</t>
  </si>
  <si>
    <t xml:space="preserve">4.2</t>
  </si>
  <si>
    <t xml:space="preserve">Planificación: diseño detallado, riesgos y compras (sensores, Raspberry Pi, RTC)</t>
  </si>
  <si>
    <t xml:space="preserve">Planificación</t>
  </si>
  <si>
    <t xml:space="preserve">4.3</t>
  </si>
  <si>
    <t xml:space="preserve">Instalación de sensores y red (VLAN IoT y de operarios, VPN)</t>
  </si>
  <si>
    <t xml:space="preserve">Ejecución</t>
  </si>
  <si>
    <t xml:space="preserve">4.4</t>
  </si>
  <si>
    <t xml:space="preserve">Despliegue del Edge en la Raspberry Pi (RTC + NTP)</t>
  </si>
  <si>
    <t xml:space="preserve">4.5</t>
  </si>
  <si>
    <t xml:space="preserve">Backend, RDS, Cognito y dashboard en producción</t>
  </si>
  <si>
    <t xml:space="preserve">4.6</t>
  </si>
  <si>
    <t xml:space="preserve">Pruebas de seguridad, corte de red y permisos</t>
  </si>
  <si>
    <t xml:space="preserve">Monitoreo y control</t>
  </si>
  <si>
    <t xml:space="preserve">4.3, 4.4, 4.5</t>
  </si>
  <si>
    <t xml:space="preserve">4.7</t>
  </si>
  <si>
    <t xml:space="preserve">Piloto en Local 1 y capacitación de usuarios</t>
  </si>
  <si>
    <t xml:space="preserve">4.8</t>
  </si>
  <si>
    <t xml:space="preserve">Extensión a Local 2</t>
  </si>
  <si>
    <t xml:space="preserve">4.9</t>
  </si>
  <si>
    <t xml:space="preserve">Monitoreo y control (revisión semanal de avance y riesgos)</t>
  </si>
  <si>
    <t xml:space="preserve">4.10</t>
  </si>
  <si>
    <t xml:space="preserve">Cierre: aceptación, documentación y lecciones aprendidas</t>
  </si>
  <si>
    <t xml:space="preserve">Cierre</t>
  </si>
  <si>
    <t xml:space="preserve">5</t>
  </si>
  <si>
    <t xml:space="preserve">Hitos</t>
  </si>
  <si>
    <t xml:space="preserve">5.1</t>
  </si>
  <si>
    <t xml:space="preserve">◆ Broker y backend en la nube operativos</t>
  </si>
  <si>
    <t xml:space="preserve">Equipo</t>
  </si>
  <si>
    <t xml:space="preserve">Hito</t>
  </si>
  <si>
    <t xml:space="preserve">5.2</t>
  </si>
  <si>
    <t xml:space="preserve">◆ Demostración del prototipo (miércoles 21/10)</t>
  </si>
  <si>
    <t xml:space="preserve">5.3</t>
  </si>
  <si>
    <t xml:space="preserve">◆ Acta de inicio con Induplac</t>
  </si>
  <si>
    <t xml:space="preserve">5.4</t>
  </si>
  <si>
    <t xml:space="preserve">◆ Pruebas aprobadas</t>
  </si>
  <si>
    <t xml:space="preserve">5.5</t>
  </si>
  <si>
    <t xml:space="preserve">◆ Puesta en marcha</t>
  </si>
  <si>
    <t xml:space="preserve">Colores por responsable:</t>
  </si>
  <si>
    <t xml:space="preserve">Lógica PMI: S1–S3 es el desarrollo del MVP con Scrum (ya en ejecución). S4–S12 es la implementación en Induplac con las 5 fases PMI: inicio (S4), planificación (S5), ejecución (S6–S10), monitoreo y control (transversal) y cierre (S12).</t>
  </si>
  <si>
    <t xml:space="preserve">Cambio 19/10/2026: RDS PostgreSQL vuelve al MVP (tarea 3.3); se mantiene apagado y se enciende para la demo del miércoles y para configuraciones.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</si>
</sst>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dd/mm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0"/>
      <name val="Arial"/>
      <family val="2"/>
    </font>
    <font>
      <b val="true"/>
      <sz val="10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8"/>
      <name val="Arial"/>
      <family val="0"/>
      <charset val="1"/>
    </font>
    <font>
      <sz val="9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EB9C"/>
      </patternFill>
    </fill>
    <fill>
      <patternFill patternType="solid">
        <fgColor rgb="FF4472C4"/>
        <bgColor rgb="FF666699"/>
      </patternFill>
    </fill>
    <fill>
      <patternFill patternType="solid">
        <fgColor rgb="FF70AD47"/>
        <bgColor rgb="FF339966"/>
      </patternFill>
    </fill>
    <fill>
      <patternFill patternType="solid">
        <fgColor rgb="FFED7D31"/>
        <bgColor rgb="FFFF8080"/>
      </patternFill>
    </fill>
    <fill>
      <patternFill patternType="solid">
        <fgColor rgb="FF7030A0"/>
        <bgColor rgb="FF993366"/>
      </patternFill>
    </fill>
    <fill>
      <patternFill patternType="solid">
        <fgColor rgb="FFC00000"/>
        <bgColor rgb="FF800000"/>
      </patternFill>
    </fill>
    <fill>
      <patternFill patternType="solid">
        <fgColor rgb="FFD9E1F2"/>
        <bgColor rgb="FFC6EFCE"/>
      </patternFill>
    </fill>
    <fill>
      <patternFill patternType="solid">
        <fgColor rgb="FF808080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4472C4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70AD47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ED7D31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7030A0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80808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ED7D31"/>
      <rgbColor rgb="FF666699"/>
      <rgbColor rgb="FF70AD4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34"/>
    <col collapsed="false" customWidth="true" hidden="false" outlineLevel="0" max="3" min="3" style="0" width="70"/>
    <col collapsed="false" customWidth="true" hidden="false" outlineLevel="0" max="4" min="4" style="0" width="22"/>
    <col collapsed="false" customWidth="true" hidden="false" outlineLevel="0" max="5" min="5" style="0" width="20"/>
    <col collapsed="false" customWidth="true" hidden="false" outlineLevel="0" max="6" min="6" style="0" width="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35.05" hidden="false" customHeight="false" outlineLevel="0" collapsed="false">
      <c r="A5" s="4" t="s">
        <v>8</v>
      </c>
      <c r="B5" s="4" t="s">
        <v>9</v>
      </c>
      <c r="C5" s="4" t="s">
        <v>10</v>
      </c>
      <c r="D5" s="4" t="s">
        <v>11</v>
      </c>
      <c r="E5" s="4" t="s">
        <v>12</v>
      </c>
      <c r="F5" s="5"/>
    </row>
    <row r="6" customFormat="false" ht="35.05" hidden="false" customHeight="false" outlineLevel="0" collapsed="false">
      <c r="A6" s="4" t="s">
        <v>13</v>
      </c>
      <c r="B6" s="4" t="s">
        <v>14</v>
      </c>
      <c r="C6" s="4" t="s">
        <v>15</v>
      </c>
      <c r="D6" s="4" t="s">
        <v>16</v>
      </c>
      <c r="E6" s="4" t="s">
        <v>17</v>
      </c>
      <c r="F6" s="5"/>
    </row>
    <row r="7" customFormat="false" ht="46.25" hidden="false" customHeight="false" outlineLevel="0" collapsed="false">
      <c r="A7" s="4" t="s">
        <v>18</v>
      </c>
      <c r="B7" s="4" t="s">
        <v>19</v>
      </c>
      <c r="C7" s="4" t="s">
        <v>20</v>
      </c>
      <c r="D7" s="4" t="s">
        <v>21</v>
      </c>
      <c r="E7" s="4" t="s">
        <v>22</v>
      </c>
      <c r="F7" s="5"/>
    </row>
    <row r="8" customFormat="false" ht="35.05" hidden="false" customHeight="false" outlineLevel="0" collapsed="false">
      <c r="A8" s="4" t="s">
        <v>23</v>
      </c>
      <c r="B8" s="4" t="s">
        <v>24</v>
      </c>
      <c r="C8" s="4" t="s">
        <v>25</v>
      </c>
      <c r="D8" s="4" t="s">
        <v>26</v>
      </c>
      <c r="E8" s="4" t="s">
        <v>17</v>
      </c>
      <c r="F8" s="5"/>
    </row>
    <row r="9" customFormat="false" ht="35.05" hidden="false" customHeight="false" outlineLevel="0" collapsed="false">
      <c r="A9" s="4" t="s">
        <v>27</v>
      </c>
      <c r="B9" s="4" t="s">
        <v>28</v>
      </c>
      <c r="C9" s="4" t="s">
        <v>29</v>
      </c>
      <c r="D9" s="4" t="s">
        <v>30</v>
      </c>
      <c r="E9" s="4" t="s">
        <v>31</v>
      </c>
      <c r="F9" s="5"/>
    </row>
    <row r="11" customFormat="false" ht="15" hidden="false" customHeight="false" outlineLevel="0" collapsed="false">
      <c r="A11" s="6" t="s">
        <v>32</v>
      </c>
    </row>
    <row r="12" customFormat="false" ht="15" hidden="false" customHeight="false" outlineLevel="0" collapsed="false">
      <c r="A12" s="3" t="s">
        <v>33</v>
      </c>
      <c r="B12" s="3" t="s">
        <v>2</v>
      </c>
      <c r="C12" s="3" t="s">
        <v>34</v>
      </c>
      <c r="D12" s="3"/>
      <c r="E12" s="3"/>
      <c r="F12" s="3"/>
    </row>
    <row r="13" customFormat="false" ht="15" hidden="false" customHeight="false" outlineLevel="0" collapsed="false">
      <c r="A13" s="4" t="s">
        <v>35</v>
      </c>
      <c r="B13" s="7"/>
      <c r="C13" s="4" t="s">
        <v>36</v>
      </c>
    </row>
    <row r="14" customFormat="false" ht="15" hidden="false" customHeight="false" outlineLevel="0" collapsed="false">
      <c r="A14" s="4" t="s">
        <v>37</v>
      </c>
      <c r="B14" s="7"/>
      <c r="C14" s="4" t="s">
        <v>38</v>
      </c>
    </row>
    <row r="15" customFormat="false" ht="15" hidden="false" customHeight="false" outlineLevel="0" collapsed="false">
      <c r="A15" s="4" t="s">
        <v>39</v>
      </c>
      <c r="B15" s="4" t="s">
        <v>40</v>
      </c>
      <c r="C15" s="4" t="s">
        <v>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70"/>
    <col collapsed="false" customWidth="true" hidden="false" outlineLevel="0" max="3" min="3" style="0" width="16"/>
    <col collapsed="false" customWidth="true" hidden="false" outlineLevel="0" max="4" min="4" style="0" width="30"/>
  </cols>
  <sheetData>
    <row r="1" customFormat="false" ht="17.35" hidden="false" customHeight="false" outlineLevel="0" collapsed="false">
      <c r="A1" s="1" t="s">
        <v>42</v>
      </c>
    </row>
    <row r="3" customFormat="false" ht="15" hidden="false" customHeight="false" outlineLevel="0" collapsed="false">
      <c r="A3" s="3" t="s">
        <v>2</v>
      </c>
      <c r="B3" s="3" t="s">
        <v>43</v>
      </c>
      <c r="C3" s="3" t="s">
        <v>44</v>
      </c>
      <c r="D3" s="3" t="s">
        <v>45</v>
      </c>
    </row>
    <row r="4" customFormat="false" ht="15" hidden="false" customHeight="false" outlineLevel="0" collapsed="false">
      <c r="A4" s="8" t="s">
        <v>46</v>
      </c>
      <c r="B4" s="4" t="s">
        <v>47</v>
      </c>
      <c r="C4" s="4" t="s">
        <v>48</v>
      </c>
      <c r="D4" s="4" t="s">
        <v>49</v>
      </c>
    </row>
    <row r="5" customFormat="false" ht="15" hidden="false" customHeight="false" outlineLevel="0" collapsed="false">
      <c r="A5" s="8" t="s">
        <v>46</v>
      </c>
      <c r="B5" s="4" t="s">
        <v>50</v>
      </c>
      <c r="C5" s="4" t="s">
        <v>51</v>
      </c>
      <c r="D5" s="4" t="s">
        <v>52</v>
      </c>
    </row>
    <row r="6" customFormat="false" ht="15" hidden="false" customHeight="false" outlineLevel="0" collapsed="false">
      <c r="A6" s="8" t="s">
        <v>46</v>
      </c>
      <c r="B6" s="4" t="s">
        <v>53</v>
      </c>
      <c r="C6" s="4" t="s">
        <v>17</v>
      </c>
      <c r="D6" s="4" t="s">
        <v>49</v>
      </c>
    </row>
    <row r="7" customFormat="false" ht="15" hidden="false" customHeight="false" outlineLevel="0" collapsed="false">
      <c r="A7" s="8" t="s">
        <v>46</v>
      </c>
      <c r="B7" s="4" t="s">
        <v>54</v>
      </c>
      <c r="C7" s="4" t="s">
        <v>22</v>
      </c>
      <c r="D7" s="4" t="s">
        <v>49</v>
      </c>
    </row>
    <row r="8" customFormat="false" ht="15" hidden="false" customHeight="false" outlineLevel="0" collapsed="false">
      <c r="A8" s="8" t="s">
        <v>46</v>
      </c>
      <c r="B8" s="4" t="s">
        <v>55</v>
      </c>
      <c r="C8" s="4" t="s">
        <v>17</v>
      </c>
      <c r="D8" s="4" t="s">
        <v>49</v>
      </c>
    </row>
    <row r="9" customFormat="false" ht="15" hidden="false" customHeight="false" outlineLevel="0" collapsed="false">
      <c r="A9" s="8" t="s">
        <v>46</v>
      </c>
      <c r="B9" s="4" t="s">
        <v>56</v>
      </c>
      <c r="C9" s="4" t="s">
        <v>22</v>
      </c>
      <c r="D9" s="4" t="s">
        <v>57</v>
      </c>
    </row>
    <row r="10" customFormat="false" ht="15" hidden="false" customHeight="false" outlineLevel="0" collapsed="false">
      <c r="A10" s="9" t="s">
        <v>58</v>
      </c>
      <c r="B10" s="4" t="s">
        <v>59</v>
      </c>
      <c r="C10" s="4" t="s">
        <v>17</v>
      </c>
      <c r="D10" s="4" t="s">
        <v>49</v>
      </c>
    </row>
    <row r="11" customFormat="false" ht="15" hidden="false" customHeight="false" outlineLevel="0" collapsed="false">
      <c r="A11" s="9" t="s">
        <v>58</v>
      </c>
      <c r="B11" s="4" t="s">
        <v>60</v>
      </c>
      <c r="C11" s="4" t="s">
        <v>22</v>
      </c>
      <c r="D11" s="4" t="s">
        <v>49</v>
      </c>
    </row>
    <row r="12" customFormat="false" ht="15" hidden="false" customHeight="false" outlineLevel="0" collapsed="false">
      <c r="A12" s="9" t="s">
        <v>58</v>
      </c>
      <c r="B12" s="4" t="s">
        <v>61</v>
      </c>
      <c r="C12" s="4" t="s">
        <v>22</v>
      </c>
      <c r="D12" s="4" t="s">
        <v>49</v>
      </c>
    </row>
    <row r="13" customFormat="false" ht="15" hidden="false" customHeight="false" outlineLevel="0" collapsed="false">
      <c r="A13" s="9" t="s">
        <v>58</v>
      </c>
      <c r="B13" s="4" t="s">
        <v>62</v>
      </c>
      <c r="C13" s="4" t="s">
        <v>22</v>
      </c>
      <c r="D13" s="4" t="s">
        <v>57</v>
      </c>
    </row>
    <row r="14" customFormat="false" ht="15" hidden="false" customHeight="false" outlineLevel="0" collapsed="false">
      <c r="A14" s="9" t="s">
        <v>58</v>
      </c>
      <c r="B14" s="4" t="s">
        <v>63</v>
      </c>
      <c r="C14" s="4" t="s">
        <v>22</v>
      </c>
      <c r="D14" s="4" t="s">
        <v>57</v>
      </c>
    </row>
    <row r="15" customFormat="false" ht="15" hidden="false" customHeight="false" outlineLevel="0" collapsed="false">
      <c r="A15" s="10" t="s">
        <v>64</v>
      </c>
      <c r="B15" s="4" t="s">
        <v>65</v>
      </c>
      <c r="C15" s="4" t="s">
        <v>22</v>
      </c>
      <c r="D15" s="4" t="s">
        <v>57</v>
      </c>
    </row>
    <row r="16" customFormat="false" ht="15" hidden="false" customHeight="false" outlineLevel="0" collapsed="false">
      <c r="A16" s="10" t="s">
        <v>64</v>
      </c>
      <c r="B16" s="4" t="s">
        <v>66</v>
      </c>
      <c r="C16" s="4" t="s">
        <v>22</v>
      </c>
      <c r="D16" s="4" t="s">
        <v>57</v>
      </c>
    </row>
    <row r="17" customFormat="false" ht="15" hidden="false" customHeight="false" outlineLevel="0" collapsed="false">
      <c r="A17" s="10" t="s">
        <v>64</v>
      </c>
      <c r="B17" s="4" t="s">
        <v>67</v>
      </c>
      <c r="C17" s="4" t="s">
        <v>22</v>
      </c>
      <c r="D17" s="4" t="s">
        <v>57</v>
      </c>
    </row>
    <row r="18" customFormat="false" ht="15" hidden="false" customHeight="false" outlineLevel="0" collapsed="false">
      <c r="A18" s="10" t="s">
        <v>64</v>
      </c>
      <c r="B18" s="4" t="s">
        <v>68</v>
      </c>
      <c r="C18" s="4" t="s">
        <v>69</v>
      </c>
      <c r="D18" s="4" t="s">
        <v>57</v>
      </c>
    </row>
    <row r="19" customFormat="false" ht="15" hidden="false" customHeight="false" outlineLevel="0" collapsed="false">
      <c r="A19" s="11" t="s">
        <v>70</v>
      </c>
      <c r="B19" s="4" t="s">
        <v>71</v>
      </c>
      <c r="C19" s="4" t="s">
        <v>51</v>
      </c>
      <c r="D19" s="4" t="s">
        <v>72</v>
      </c>
    </row>
    <row r="20" customFormat="false" ht="15" hidden="false" customHeight="false" outlineLevel="0" collapsed="false">
      <c r="A20" s="11" t="s">
        <v>70</v>
      </c>
      <c r="B20" s="4" t="s">
        <v>73</v>
      </c>
      <c r="C20" s="4" t="s">
        <v>51</v>
      </c>
      <c r="D20" s="4" t="s">
        <v>72</v>
      </c>
    </row>
    <row r="21" customFormat="false" ht="15" hidden="false" customHeight="false" outlineLevel="0" collapsed="false">
      <c r="A21" s="11" t="s">
        <v>70</v>
      </c>
      <c r="B21" s="4" t="s">
        <v>74</v>
      </c>
      <c r="C21" s="4" t="s">
        <v>51</v>
      </c>
      <c r="D21" s="4" t="s">
        <v>72</v>
      </c>
    </row>
    <row r="22" customFormat="false" ht="15" hidden="false" customHeight="false" outlineLevel="0" collapsed="false">
      <c r="A22" s="11" t="s">
        <v>70</v>
      </c>
      <c r="B22" s="4" t="s">
        <v>75</v>
      </c>
      <c r="C22" s="4" t="s">
        <v>51</v>
      </c>
      <c r="D22" s="4" t="s">
        <v>72</v>
      </c>
    </row>
    <row r="23" customFormat="false" ht="15" hidden="false" customHeight="false" outlineLevel="0" collapsed="false">
      <c r="A23" s="11" t="s">
        <v>70</v>
      </c>
      <c r="B23" s="4" t="s">
        <v>76</v>
      </c>
      <c r="C23" s="4" t="s">
        <v>22</v>
      </c>
      <c r="D23" s="4" t="s">
        <v>49</v>
      </c>
    </row>
    <row r="24" customFormat="false" ht="15" hidden="false" customHeight="false" outlineLevel="0" collapsed="false">
      <c r="A24" s="11" t="s">
        <v>70</v>
      </c>
      <c r="B24" s="4" t="s">
        <v>77</v>
      </c>
      <c r="C24" s="4" t="s">
        <v>22</v>
      </c>
      <c r="D24" s="4" t="s">
        <v>57</v>
      </c>
    </row>
    <row r="25" customFormat="false" ht="15" hidden="false" customHeight="false" outlineLevel="0" collapsed="false">
      <c r="A25" s="11" t="s">
        <v>70</v>
      </c>
      <c r="B25" s="4" t="s">
        <v>78</v>
      </c>
      <c r="C25" s="4" t="s">
        <v>22</v>
      </c>
      <c r="D25" s="4" t="s">
        <v>57</v>
      </c>
    </row>
    <row r="26" customFormat="false" ht="15" hidden="false" customHeight="false" outlineLevel="0" collapsed="false">
      <c r="A26" s="11" t="s">
        <v>70</v>
      </c>
      <c r="B26" s="4" t="s">
        <v>79</v>
      </c>
      <c r="C26" s="4" t="s">
        <v>22</v>
      </c>
      <c r="D26" s="4" t="s">
        <v>49</v>
      </c>
    </row>
    <row r="27" customFormat="false" ht="15" hidden="false" customHeight="false" outlineLevel="0" collapsed="false">
      <c r="A27" s="12" t="s">
        <v>80</v>
      </c>
      <c r="B27" s="4" t="s">
        <v>81</v>
      </c>
      <c r="C27" s="4" t="s">
        <v>22</v>
      </c>
      <c r="D27" s="4" t="s">
        <v>82</v>
      </c>
    </row>
    <row r="28" customFormat="false" ht="15" hidden="false" customHeight="false" outlineLevel="0" collapsed="false">
      <c r="A28" s="12" t="s">
        <v>80</v>
      </c>
      <c r="B28" s="4" t="s">
        <v>83</v>
      </c>
      <c r="C28" s="4" t="s">
        <v>22</v>
      </c>
      <c r="D28" s="4" t="s">
        <v>82</v>
      </c>
    </row>
    <row r="29" customFormat="false" ht="15" hidden="false" customHeight="false" outlineLevel="0" collapsed="false">
      <c r="A29" s="12" t="s">
        <v>80</v>
      </c>
      <c r="B29" s="4" t="s">
        <v>84</v>
      </c>
      <c r="C29" s="4" t="s">
        <v>22</v>
      </c>
      <c r="D29" s="4" t="s">
        <v>85</v>
      </c>
    </row>
    <row r="30" customFormat="false" ht="15" hidden="false" customHeight="false" outlineLevel="0" collapsed="false">
      <c r="A30" s="12" t="s">
        <v>80</v>
      </c>
      <c r="B30" s="4" t="s">
        <v>86</v>
      </c>
      <c r="C30" s="4" t="s">
        <v>22</v>
      </c>
      <c r="D30" s="4" t="s">
        <v>87</v>
      </c>
    </row>
    <row r="31" customFormat="false" ht="15" hidden="false" customHeight="false" outlineLevel="0" collapsed="false">
      <c r="A31" s="12" t="s">
        <v>80</v>
      </c>
      <c r="B31" s="4" t="s">
        <v>88</v>
      </c>
      <c r="C31" s="4" t="s">
        <v>22</v>
      </c>
      <c r="D31" s="4" t="s">
        <v>89</v>
      </c>
    </row>
    <row r="32" customFormat="false" ht="15" hidden="false" customHeight="false" outlineLevel="0" collapsed="false">
      <c r="A32" s="12" t="s">
        <v>80</v>
      </c>
      <c r="B32" s="4" t="s">
        <v>90</v>
      </c>
      <c r="C32" s="4" t="s">
        <v>22</v>
      </c>
      <c r="D32" s="4" t="s">
        <v>91</v>
      </c>
    </row>
    <row r="33" customFormat="false" ht="15" hidden="false" customHeight="false" outlineLevel="0" collapsed="false">
      <c r="A33" s="12" t="s">
        <v>80</v>
      </c>
      <c r="B33" s="4" t="s">
        <v>92</v>
      </c>
      <c r="C33" s="4" t="s">
        <v>69</v>
      </c>
      <c r="D33" s="4" t="s">
        <v>57</v>
      </c>
    </row>
    <row r="35" customFormat="false" ht="15" hidden="false" customHeight="false" outlineLevel="0" collapsed="false">
      <c r="A35" s="13" t="s">
        <v>93</v>
      </c>
    </row>
    <row r="36" customFormat="false" ht="15" hidden="false" customHeight="false" outlineLevel="0" collapsed="false">
      <c r="A36" s="3" t="s">
        <v>2</v>
      </c>
      <c r="B36" s="3" t="s">
        <v>94</v>
      </c>
      <c r="C36" s="3" t="s">
        <v>95</v>
      </c>
      <c r="D36" s="3" t="s">
        <v>96</v>
      </c>
    </row>
    <row r="37" customFormat="false" ht="15" hidden="false" customHeight="false" outlineLevel="0" collapsed="false">
      <c r="A37" s="14" t="s">
        <v>46</v>
      </c>
      <c r="B37" s="14" t="n">
        <f aca="false">COUNTIF($A$4:$A$33,A37)</f>
        <v>6</v>
      </c>
      <c r="C37" s="14" t="n">
        <f aca="false">COUNTIFS($A$4:$A$33,A37,$D$4:$D$33,"Listo*")</f>
        <v>1</v>
      </c>
      <c r="D37" s="14" t="n">
        <f aca="false">B37-C37</f>
        <v>5</v>
      </c>
    </row>
    <row r="38" customFormat="false" ht="15" hidden="false" customHeight="false" outlineLevel="0" collapsed="false">
      <c r="A38" s="14" t="s">
        <v>58</v>
      </c>
      <c r="B38" s="14" t="n">
        <f aca="false">COUNTIF($A$4:$A$33,A38)</f>
        <v>5</v>
      </c>
      <c r="C38" s="14" t="n">
        <f aca="false">COUNTIFS($A$4:$A$33,A38,$D$4:$D$33,"Listo*")</f>
        <v>0</v>
      </c>
      <c r="D38" s="14" t="n">
        <f aca="false">B38-C38</f>
        <v>5</v>
      </c>
    </row>
    <row r="39" customFormat="false" ht="15" hidden="false" customHeight="false" outlineLevel="0" collapsed="false">
      <c r="A39" s="14" t="s">
        <v>64</v>
      </c>
      <c r="B39" s="14" t="n">
        <f aca="false">COUNTIF($A$4:$A$33,A39)</f>
        <v>4</v>
      </c>
      <c r="C39" s="14" t="n">
        <f aca="false">COUNTIFS($A$4:$A$33,A39,$D$4:$D$33,"Listo*")</f>
        <v>0</v>
      </c>
      <c r="D39" s="14" t="n">
        <f aca="false">B39-C39</f>
        <v>4</v>
      </c>
    </row>
    <row r="40" customFormat="false" ht="15" hidden="false" customHeight="false" outlineLevel="0" collapsed="false">
      <c r="A40" s="14" t="s">
        <v>70</v>
      </c>
      <c r="B40" s="14" t="n">
        <f aca="false">COUNTIF($A$4:$A$33,A40)</f>
        <v>8</v>
      </c>
      <c r="C40" s="14" t="n">
        <f aca="false">COUNTIFS($A$4:$A$33,A40,$D$4:$D$33,"Listo*")</f>
        <v>4</v>
      </c>
      <c r="D40" s="14" t="n">
        <f aca="false">B40-C40</f>
        <v>4</v>
      </c>
    </row>
    <row r="41" customFormat="false" ht="15" hidden="false" customHeight="false" outlineLevel="0" collapsed="false">
      <c r="A41" s="14" t="s">
        <v>80</v>
      </c>
      <c r="B41" s="14" t="n">
        <f aca="false">COUNTIF($A$4:$A$33,A41)</f>
        <v>7</v>
      </c>
      <c r="C41" s="14" t="n">
        <f aca="false">COUNTIFS($A$4:$A$33,A41,$D$4:$D$33,"Listo*")</f>
        <v>6</v>
      </c>
      <c r="D41" s="14" t="n">
        <f aca="false">B41-C41</f>
        <v>1</v>
      </c>
    </row>
  </sheetData>
  <conditionalFormatting sqref="D4:D33">
    <cfRule type="expression" priority="2" aboveAverage="0" equalAverage="0" bottom="0" percent="0" rank="0" text="" dxfId="0">
      <formula>LEFT(D4,5)="Listo"</formula>
    </cfRule>
    <cfRule type="expression" priority="3" aboveAverage="0" equalAverage="0" bottom="0" percent="0" rank="0" text="" dxfId="1">
      <formula>D4="En curso"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0"/>
    <col collapsed="false" customWidth="true" hidden="false" outlineLevel="0" max="7" min="3" style="0" width="17"/>
    <col collapsed="false" customWidth="true" hidden="false" outlineLevel="0" max="8" min="8" style="0" width="10"/>
  </cols>
  <sheetData>
    <row r="1" customFormat="false" ht="17.35" hidden="false" customHeight="false" outlineLevel="0" collapsed="false">
      <c r="A1" s="1" t="s">
        <v>97</v>
      </c>
    </row>
    <row r="2" customFormat="false" ht="15" hidden="false" customHeight="false" outlineLevel="0" collapsed="false">
      <c r="A2" s="2" t="s">
        <v>98</v>
      </c>
    </row>
    <row r="4" customFormat="false" ht="42" hidden="false" customHeight="true" outlineLevel="0" collapsed="false">
      <c r="A4" s="3" t="s">
        <v>99</v>
      </c>
      <c r="B4" s="3" t="s">
        <v>100</v>
      </c>
      <c r="C4" s="3" t="s">
        <v>101</v>
      </c>
      <c r="D4" s="3" t="s">
        <v>102</v>
      </c>
      <c r="E4" s="3" t="s">
        <v>103</v>
      </c>
      <c r="F4" s="3" t="s">
        <v>104</v>
      </c>
      <c r="G4" s="3" t="s">
        <v>105</v>
      </c>
      <c r="H4" s="3" t="s">
        <v>106</v>
      </c>
    </row>
    <row r="5" customFormat="false" ht="23.85" hidden="false" customHeight="false" outlineLevel="0" collapsed="false">
      <c r="A5" s="14" t="n">
        <v>1</v>
      </c>
      <c r="B5" s="4" t="s">
        <v>107</v>
      </c>
      <c r="C5" s="15" t="s">
        <v>108</v>
      </c>
      <c r="D5" s="15" t="s">
        <v>109</v>
      </c>
      <c r="E5" s="15" t="s">
        <v>110</v>
      </c>
      <c r="F5" s="15" t="s">
        <v>110</v>
      </c>
      <c r="G5" s="15" t="s">
        <v>110</v>
      </c>
      <c r="H5" s="14" t="str">
        <f aca="false">IF(AND(COUNTIF(C5:G5,"*R*")&gt;=1,COUNTIF(C5:G5,"A*")=1),"OK","Revisar")</f>
        <v>OK</v>
      </c>
    </row>
    <row r="6" customFormat="false" ht="15" hidden="false" customHeight="false" outlineLevel="0" collapsed="false">
      <c r="A6" s="14" t="n">
        <v>2</v>
      </c>
      <c r="B6" s="4" t="s">
        <v>50</v>
      </c>
      <c r="C6" s="15" t="s">
        <v>109</v>
      </c>
      <c r="D6" s="15" t="s">
        <v>108</v>
      </c>
      <c r="E6" s="15" t="s">
        <v>110</v>
      </c>
      <c r="F6" s="15" t="s">
        <v>108</v>
      </c>
      <c r="G6" s="15" t="s">
        <v>110</v>
      </c>
      <c r="H6" s="14" t="str">
        <f aca="false">IF(AND(COUNTIF(C6:G6,"*R*")&gt;=1,COUNTIF(C6:G6,"A*")=1),"OK","Revisar")</f>
        <v>OK</v>
      </c>
    </row>
    <row r="7" customFormat="false" ht="15" hidden="false" customHeight="false" outlineLevel="0" collapsed="false">
      <c r="A7" s="14" t="n">
        <v>3</v>
      </c>
      <c r="B7" s="4" t="s">
        <v>111</v>
      </c>
      <c r="C7" s="15" t="s">
        <v>109</v>
      </c>
      <c r="D7" s="15" t="s">
        <v>108</v>
      </c>
      <c r="E7" s="15" t="s">
        <v>108</v>
      </c>
      <c r="F7" s="15" t="s">
        <v>108</v>
      </c>
      <c r="G7" s="15" t="s">
        <v>110</v>
      </c>
      <c r="H7" s="14" t="str">
        <f aca="false">IF(AND(COUNTIF(C7:G7,"*R*")&gt;=1,COUNTIF(C7:G7,"A*")=1),"OK","Revisar")</f>
        <v>OK</v>
      </c>
    </row>
    <row r="8" customFormat="false" ht="23.85" hidden="false" customHeight="false" outlineLevel="0" collapsed="false">
      <c r="A8" s="14" t="n">
        <v>4</v>
      </c>
      <c r="B8" s="4" t="s">
        <v>112</v>
      </c>
      <c r="C8" s="15" t="s">
        <v>109</v>
      </c>
      <c r="D8" s="15" t="s">
        <v>110</v>
      </c>
      <c r="E8" s="15" t="s">
        <v>113</v>
      </c>
      <c r="F8" s="15" t="s">
        <v>108</v>
      </c>
      <c r="G8" s="15" t="s">
        <v>110</v>
      </c>
      <c r="H8" s="14" t="str">
        <f aca="false">IF(AND(COUNTIF(C8:G8,"*R*")&gt;=1,COUNTIF(C8:G8,"A*")=1),"OK","Revisar")</f>
        <v>OK</v>
      </c>
    </row>
    <row r="9" customFormat="false" ht="23.85" hidden="false" customHeight="false" outlineLevel="0" collapsed="false">
      <c r="A9" s="14" t="n">
        <v>5</v>
      </c>
      <c r="B9" s="4" t="s">
        <v>114</v>
      </c>
      <c r="C9" s="15" t="s">
        <v>113</v>
      </c>
      <c r="D9" s="15" t="s">
        <v>110</v>
      </c>
      <c r="E9" s="15" t="s">
        <v>108</v>
      </c>
      <c r="F9" s="15" t="s">
        <v>109</v>
      </c>
      <c r="G9" s="15" t="s">
        <v>110</v>
      </c>
      <c r="H9" s="14" t="str">
        <f aca="false">IF(AND(COUNTIF(C9:G9,"*R*")&gt;=1,COUNTIF(C9:G9,"A*")=1),"OK","Revisar")</f>
        <v>OK</v>
      </c>
    </row>
    <row r="10" customFormat="false" ht="15" hidden="false" customHeight="false" outlineLevel="0" collapsed="false">
      <c r="A10" s="14" t="n">
        <v>6</v>
      </c>
      <c r="B10" s="4" t="s">
        <v>115</v>
      </c>
      <c r="C10" s="15" t="s">
        <v>109</v>
      </c>
      <c r="D10" s="15" t="s">
        <v>110</v>
      </c>
      <c r="E10" s="15" t="s">
        <v>110</v>
      </c>
      <c r="F10" s="15" t="s">
        <v>108</v>
      </c>
      <c r="G10" s="15" t="s">
        <v>108</v>
      </c>
      <c r="H10" s="14" t="str">
        <f aca="false">IF(AND(COUNTIF(C10:G10,"*R*")&gt;=1,COUNTIF(C10:G10,"A*")=1),"OK","Revisar")</f>
        <v>OK</v>
      </c>
    </row>
    <row r="11" customFormat="false" ht="23.85" hidden="false" customHeight="false" outlineLevel="0" collapsed="false">
      <c r="A11" s="14" t="n">
        <v>7</v>
      </c>
      <c r="B11" s="4" t="s">
        <v>116</v>
      </c>
      <c r="C11" s="15" t="s">
        <v>108</v>
      </c>
      <c r="D11" s="15" t="s">
        <v>110</v>
      </c>
      <c r="E11" s="15" t="s">
        <v>110</v>
      </c>
      <c r="F11" s="15" t="s">
        <v>109</v>
      </c>
      <c r="G11" s="15" t="s">
        <v>110</v>
      </c>
      <c r="H11" s="14" t="str">
        <f aca="false">IF(AND(COUNTIF(C11:G11,"*R*")&gt;=1,COUNTIF(C11:G11,"A*")=1),"OK","Revisar")</f>
        <v>OK</v>
      </c>
    </row>
    <row r="12" customFormat="false" ht="15" hidden="false" customHeight="false" outlineLevel="0" collapsed="false">
      <c r="A12" s="14" t="n">
        <v>8</v>
      </c>
      <c r="B12" s="4" t="s">
        <v>117</v>
      </c>
      <c r="C12" s="15" t="s">
        <v>108</v>
      </c>
      <c r="D12" s="15" t="s">
        <v>108</v>
      </c>
      <c r="E12" s="15" t="s">
        <v>108</v>
      </c>
      <c r="F12" s="15" t="s">
        <v>108</v>
      </c>
      <c r="G12" s="15" t="s">
        <v>109</v>
      </c>
      <c r="H12" s="14" t="str">
        <f aca="false">IF(AND(COUNTIF(C12:G12,"*R*")&gt;=1,COUNTIF(C12:G12,"A*")=1),"OK","Revisar")</f>
        <v>OK</v>
      </c>
    </row>
    <row r="13" customFormat="false" ht="23.85" hidden="false" customHeight="false" outlineLevel="0" collapsed="false">
      <c r="A13" s="14" t="n">
        <v>9</v>
      </c>
      <c r="B13" s="4" t="s">
        <v>118</v>
      </c>
      <c r="C13" s="15" t="s">
        <v>119</v>
      </c>
      <c r="D13" s="15" t="s">
        <v>113</v>
      </c>
      <c r="E13" s="15" t="s">
        <v>113</v>
      </c>
      <c r="F13" s="15" t="s">
        <v>108</v>
      </c>
      <c r="G13" s="15" t="s">
        <v>108</v>
      </c>
      <c r="H13" s="14" t="str">
        <f aca="false">IF(AND(COUNTIF(C13:G13,"*R*")&gt;=1,COUNTIF(C13:G13,"A*")=1),"OK","Revisar")</f>
        <v>OK</v>
      </c>
    </row>
    <row r="14" customFormat="false" ht="15" hidden="false" customHeight="false" outlineLevel="0" collapsed="false">
      <c r="A14" s="14" t="n">
        <v>10</v>
      </c>
      <c r="B14" s="4" t="s">
        <v>120</v>
      </c>
      <c r="C14" s="15" t="s">
        <v>109</v>
      </c>
      <c r="D14" s="15" t="s">
        <v>113</v>
      </c>
      <c r="E14" s="15" t="s">
        <v>113</v>
      </c>
      <c r="F14" s="15" t="s">
        <v>113</v>
      </c>
      <c r="G14" s="15" t="s">
        <v>113</v>
      </c>
      <c r="H14" s="14" t="str">
        <f aca="false">IF(AND(COUNTIF(C14:G14,"*R*")&gt;=1,COUNTIF(C14:G14,"A*")=1),"OK","Revisar")</f>
        <v>OK</v>
      </c>
    </row>
    <row r="16" customFormat="false" ht="15" hidden="false" customHeight="false" outlineLevel="0" collapsed="false">
      <c r="B16" s="16" t="s">
        <v>121</v>
      </c>
      <c r="C16" s="14" t="n">
        <f aca="false">COUNTIF(C5:C14,"*R*")</f>
        <v>6</v>
      </c>
      <c r="D16" s="14" t="n">
        <f aca="false">COUNTIF(D5:D14,"*R*")</f>
        <v>3</v>
      </c>
      <c r="E16" s="14" t="n">
        <f aca="false">COUNTIF(E5:E14,"*R*")</f>
        <v>3</v>
      </c>
      <c r="F16" s="14" t="n">
        <f aca="false">COUNTIF(F5:F14,"*R*")</f>
        <v>3</v>
      </c>
      <c r="G16" s="14" t="n">
        <f aca="false">COUNTIF(G5:G14,"*R*")</f>
        <v>2</v>
      </c>
    </row>
    <row r="17" customFormat="false" ht="15" hidden="false" customHeight="false" outlineLevel="0" collapsed="false">
      <c r="B17" s="16" t="s">
        <v>122</v>
      </c>
      <c r="C17" s="14" t="n">
        <f aca="false">COUNTIF(C5:C14,"A*")</f>
        <v>6</v>
      </c>
      <c r="D17" s="14" t="n">
        <f aca="false">COUNTIF(D5:D14,"A*")</f>
        <v>1</v>
      </c>
      <c r="E17" s="14" t="n">
        <f aca="false">COUNTIF(E5:E14,"A*")</f>
        <v>0</v>
      </c>
      <c r="F17" s="14" t="n">
        <f aca="false">COUNTIF(F5:F14,"A*")</f>
        <v>2</v>
      </c>
      <c r="G17" s="14" t="n">
        <f aca="false">COUNTIF(G5:G14,"A*")</f>
        <v>1</v>
      </c>
    </row>
    <row r="19" customFormat="false" ht="15" hidden="false" customHeight="false" outlineLevel="0" collapsed="false">
      <c r="B19" s="2" t="s">
        <v>123</v>
      </c>
    </row>
  </sheetData>
  <conditionalFormatting sqref="H5:H14">
    <cfRule type="expression" priority="2" aboveAverage="0" equalAverage="0" bottom="0" percent="0" rank="0" text="" dxfId="0">
      <formula>H5="OK"</formula>
    </cfRule>
    <cfRule type="expression" priority="3" aboveAverage="0" equalAverage="0" bottom="0" percent="0" rank="0" text="" dxfId="2">
      <formula>H5="Revisar"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2"/>
    <col collapsed="false" customWidth="true" hidden="false" outlineLevel="0" max="3" min="3" style="0" width="12"/>
    <col collapsed="false" customWidth="true" hidden="false" outlineLevel="0" max="4" min="4" style="0" width="16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20" min="9" style="0" width="6"/>
  </cols>
  <sheetData>
    <row r="1" customFormat="false" ht="17.35" hidden="false" customHeight="false" outlineLevel="0" collapsed="false">
      <c r="A1" s="1" t="s">
        <v>124</v>
      </c>
    </row>
    <row r="2" customFormat="false" ht="15" hidden="false" customHeight="false" outlineLevel="0" collapsed="false">
      <c r="A2" s="17" t="s">
        <v>125</v>
      </c>
      <c r="E2" s="18" t="n">
        <v>46300</v>
      </c>
      <c r="F2" s="2" t="s">
        <v>126</v>
      </c>
    </row>
    <row r="4" customFormat="false" ht="30" hidden="false" customHeight="true" outlineLevel="0" collapsed="false">
      <c r="A4" s="3" t="s">
        <v>127</v>
      </c>
      <c r="B4" s="3" t="s">
        <v>43</v>
      </c>
      <c r="C4" s="3" t="s">
        <v>128</v>
      </c>
      <c r="D4" s="3" t="s">
        <v>129</v>
      </c>
      <c r="E4" s="3" t="s">
        <v>130</v>
      </c>
      <c r="F4" s="3" t="s">
        <v>131</v>
      </c>
      <c r="G4" s="3" t="s">
        <v>132</v>
      </c>
      <c r="H4" s="3" t="s">
        <v>133</v>
      </c>
      <c r="I4" s="3" t="s">
        <v>134</v>
      </c>
      <c r="J4" s="3" t="s">
        <v>135</v>
      </c>
      <c r="K4" s="3" t="s">
        <v>136</v>
      </c>
      <c r="L4" s="3" t="s">
        <v>137</v>
      </c>
      <c r="M4" s="3" t="s">
        <v>138</v>
      </c>
      <c r="N4" s="3" t="s">
        <v>139</v>
      </c>
      <c r="O4" s="3" t="s">
        <v>140</v>
      </c>
      <c r="P4" s="3" t="s">
        <v>141</v>
      </c>
      <c r="Q4" s="3" t="s">
        <v>142</v>
      </c>
      <c r="R4" s="3" t="s">
        <v>143</v>
      </c>
      <c r="S4" s="3" t="s">
        <v>144</v>
      </c>
      <c r="T4" s="3" t="s">
        <v>145</v>
      </c>
    </row>
    <row r="5" customFormat="false" ht="15" hidden="false" customHeight="false" outlineLevel="0" collapsed="false">
      <c r="B5" s="19" t="s">
        <v>146</v>
      </c>
      <c r="I5" s="20" t="n">
        <f aca="false">$E$2+0</f>
        <v>46300</v>
      </c>
      <c r="J5" s="20" t="n">
        <f aca="false">$E$2+7</f>
        <v>46307</v>
      </c>
      <c r="K5" s="20" t="n">
        <f aca="false">$E$2+14</f>
        <v>46314</v>
      </c>
      <c r="L5" s="20" t="n">
        <f aca="false">$E$2+21</f>
        <v>46321</v>
      </c>
      <c r="M5" s="20" t="n">
        <f aca="false">$E$2+28</f>
        <v>46328</v>
      </c>
      <c r="N5" s="20" t="n">
        <f aca="false">$E$2+35</f>
        <v>46335</v>
      </c>
      <c r="O5" s="20" t="n">
        <f aca="false">$E$2+42</f>
        <v>46342</v>
      </c>
      <c r="P5" s="20" t="n">
        <f aca="false">$E$2+49</f>
        <v>46349</v>
      </c>
      <c r="Q5" s="20" t="n">
        <f aca="false">$E$2+56</f>
        <v>46356</v>
      </c>
      <c r="R5" s="20" t="n">
        <f aca="false">$E$2+63</f>
        <v>46363</v>
      </c>
      <c r="S5" s="20" t="n">
        <f aca="false">$E$2+70</f>
        <v>46370</v>
      </c>
      <c r="T5" s="20" t="n">
        <f aca="false">$E$2+77</f>
        <v>46377</v>
      </c>
    </row>
    <row r="6" customFormat="false" ht="15" hidden="false" customHeight="false" outlineLevel="0" collapsed="false">
      <c r="A6" s="21" t="s">
        <v>147</v>
      </c>
      <c r="B6" s="21" t="s">
        <v>148</v>
      </c>
      <c r="C6" s="21"/>
      <c r="D6" s="21" t="s">
        <v>149</v>
      </c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</row>
    <row r="7" customFormat="false" ht="15" hidden="false" customHeight="false" outlineLevel="0" collapsed="false">
      <c r="A7" s="14" t="s">
        <v>150</v>
      </c>
      <c r="B7" s="4" t="s">
        <v>151</v>
      </c>
      <c r="C7" s="14" t="s">
        <v>46</v>
      </c>
      <c r="D7" s="4" t="s">
        <v>149</v>
      </c>
      <c r="E7" s="22" t="n">
        <v>46300</v>
      </c>
      <c r="F7" s="23" t="n">
        <v>1</v>
      </c>
      <c r="G7" s="24" t="n">
        <f aca="false">E7+F7*7-3</f>
        <v>46304</v>
      </c>
      <c r="H7" s="14" t="s">
        <v>152</v>
      </c>
      <c r="I7" s="25" t="str">
        <f aca="false">IF(AND(I$5&gt;=$E7-6,I$5&lt;=$G7),"■","")</f>
        <v>■</v>
      </c>
      <c r="J7" s="25" t="str">
        <f aca="false">IF(AND(J$5&gt;=$E7-6,J$5&lt;=$G7),"■","")</f>
        <v/>
      </c>
      <c r="K7" s="25" t="str">
        <f aca="false">IF(AND(K$5&gt;=$E7-6,K$5&lt;=$G7),"■","")</f>
        <v/>
      </c>
      <c r="L7" s="25" t="str">
        <f aca="false">IF(AND(L$5&gt;=$E7-6,L$5&lt;=$G7),"■","")</f>
        <v/>
      </c>
      <c r="M7" s="25" t="str">
        <f aca="false">IF(AND(M$5&gt;=$E7-6,M$5&lt;=$G7),"■","")</f>
        <v/>
      </c>
      <c r="N7" s="25" t="str">
        <f aca="false">IF(AND(N$5&gt;=$E7-6,N$5&lt;=$G7),"■","")</f>
        <v/>
      </c>
      <c r="O7" s="25" t="str">
        <f aca="false">IF(AND(O$5&gt;=$E7-6,O$5&lt;=$G7),"■","")</f>
        <v/>
      </c>
      <c r="P7" s="25" t="str">
        <f aca="false">IF(AND(P$5&gt;=$E7-6,P$5&lt;=$G7),"■","")</f>
        <v/>
      </c>
      <c r="Q7" s="25" t="str">
        <f aca="false">IF(AND(Q$5&gt;=$E7-6,Q$5&lt;=$G7),"■","")</f>
        <v/>
      </c>
      <c r="R7" s="25" t="str">
        <f aca="false">IF(AND(R$5&gt;=$E7-6,R$5&lt;=$G7),"■","")</f>
        <v/>
      </c>
      <c r="S7" s="25" t="str">
        <f aca="false">IF(AND(S$5&gt;=$E7-6,S$5&lt;=$G7),"■","")</f>
        <v/>
      </c>
      <c r="T7" s="25" t="str">
        <f aca="false">IF(AND(T$5&gt;=$E7-6,T$5&lt;=$G7),"■","")</f>
        <v/>
      </c>
    </row>
    <row r="8" customFormat="false" ht="23.85" hidden="false" customHeight="false" outlineLevel="0" collapsed="false">
      <c r="A8" s="14" t="s">
        <v>153</v>
      </c>
      <c r="B8" s="4" t="s">
        <v>154</v>
      </c>
      <c r="C8" s="14" t="s">
        <v>80</v>
      </c>
      <c r="D8" s="4" t="s">
        <v>17</v>
      </c>
      <c r="E8" s="22" t="n">
        <v>46307</v>
      </c>
      <c r="F8" s="23" t="n">
        <v>2</v>
      </c>
      <c r="G8" s="24" t="n">
        <f aca="false">E8+F8*7-3</f>
        <v>46318</v>
      </c>
      <c r="H8" s="14" t="s">
        <v>150</v>
      </c>
      <c r="I8" s="25" t="str">
        <f aca="false">IF(AND(I$5&gt;=$E8-6,I$5&lt;=$G8),"■","")</f>
        <v/>
      </c>
      <c r="J8" s="25" t="str">
        <f aca="false">IF(AND(J$5&gt;=$E8-6,J$5&lt;=$G8),"■","")</f>
        <v>■</v>
      </c>
      <c r="K8" s="25" t="str">
        <f aca="false">IF(AND(K$5&gt;=$E8-6,K$5&lt;=$G8),"■","")</f>
        <v>■</v>
      </c>
      <c r="L8" s="25" t="str">
        <f aca="false">IF(AND(L$5&gt;=$E8-6,L$5&lt;=$G8),"■","")</f>
        <v/>
      </c>
      <c r="M8" s="25" t="str">
        <f aca="false">IF(AND(M$5&gt;=$E8-6,M$5&lt;=$G8),"■","")</f>
        <v/>
      </c>
      <c r="N8" s="25" t="str">
        <f aca="false">IF(AND(N$5&gt;=$E8-6,N$5&lt;=$G8),"■","")</f>
        <v/>
      </c>
      <c r="O8" s="25" t="str">
        <f aca="false">IF(AND(O$5&gt;=$E8-6,O$5&lt;=$G8),"■","")</f>
        <v/>
      </c>
      <c r="P8" s="25" t="str">
        <f aca="false">IF(AND(P$5&gt;=$E8-6,P$5&lt;=$G8),"■","")</f>
        <v/>
      </c>
      <c r="Q8" s="25" t="str">
        <f aca="false">IF(AND(Q$5&gt;=$E8-6,Q$5&lt;=$G8),"■","")</f>
        <v/>
      </c>
      <c r="R8" s="25" t="str">
        <f aca="false">IF(AND(R$5&gt;=$E8-6,R$5&lt;=$G8),"■","")</f>
        <v/>
      </c>
      <c r="S8" s="25" t="str">
        <f aca="false">IF(AND(S$5&gt;=$E8-6,S$5&lt;=$G8),"■","")</f>
        <v/>
      </c>
      <c r="T8" s="25" t="str">
        <f aca="false">IF(AND(T$5&gt;=$E8-6,T$5&lt;=$G8),"■","")</f>
        <v/>
      </c>
    </row>
    <row r="9" customFormat="false" ht="15" hidden="false" customHeight="false" outlineLevel="0" collapsed="false">
      <c r="A9" s="21" t="s">
        <v>155</v>
      </c>
      <c r="B9" s="21" t="s">
        <v>156</v>
      </c>
      <c r="C9" s="21"/>
      <c r="D9" s="21" t="s">
        <v>51</v>
      </c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</row>
    <row r="10" customFormat="false" ht="15" hidden="false" customHeight="false" outlineLevel="0" collapsed="false">
      <c r="A10" s="14" t="s">
        <v>157</v>
      </c>
      <c r="B10" s="4" t="s">
        <v>158</v>
      </c>
      <c r="C10" s="14" t="s">
        <v>46</v>
      </c>
      <c r="D10" s="4" t="s">
        <v>51</v>
      </c>
      <c r="E10" s="22" t="n">
        <v>46307</v>
      </c>
      <c r="F10" s="23" t="n">
        <v>1</v>
      </c>
      <c r="G10" s="24" t="n">
        <f aca="false">E10+F10*7-3</f>
        <v>46311</v>
      </c>
      <c r="H10" s="14" t="s">
        <v>150</v>
      </c>
      <c r="I10" s="25" t="str">
        <f aca="false">IF(AND(I$5&gt;=$E10-6,I$5&lt;=$G10),"■","")</f>
        <v/>
      </c>
      <c r="J10" s="25" t="str">
        <f aca="false">IF(AND(J$5&gt;=$E10-6,J$5&lt;=$G10),"■","")</f>
        <v>■</v>
      </c>
      <c r="K10" s="25" t="str">
        <f aca="false">IF(AND(K$5&gt;=$E10-6,K$5&lt;=$G10),"■","")</f>
        <v/>
      </c>
      <c r="L10" s="25" t="str">
        <f aca="false">IF(AND(L$5&gt;=$E10-6,L$5&lt;=$G10),"■","")</f>
        <v/>
      </c>
      <c r="M10" s="25" t="str">
        <f aca="false">IF(AND(M$5&gt;=$E10-6,M$5&lt;=$G10),"■","")</f>
        <v/>
      </c>
      <c r="N10" s="25" t="str">
        <f aca="false">IF(AND(N$5&gt;=$E10-6,N$5&lt;=$G10),"■","")</f>
        <v/>
      </c>
      <c r="O10" s="25" t="str">
        <f aca="false">IF(AND(O$5&gt;=$E10-6,O$5&lt;=$G10),"■","")</f>
        <v/>
      </c>
      <c r="P10" s="25" t="str">
        <f aca="false">IF(AND(P$5&gt;=$E10-6,P$5&lt;=$G10),"■","")</f>
        <v/>
      </c>
      <c r="Q10" s="25" t="str">
        <f aca="false">IF(AND(Q$5&gt;=$E10-6,Q$5&lt;=$G10),"■","")</f>
        <v/>
      </c>
      <c r="R10" s="25" t="str">
        <f aca="false">IF(AND(R$5&gt;=$E10-6,R$5&lt;=$G10),"■","")</f>
        <v/>
      </c>
      <c r="S10" s="25" t="str">
        <f aca="false">IF(AND(S$5&gt;=$E10-6,S$5&lt;=$G10),"■","")</f>
        <v/>
      </c>
      <c r="T10" s="25" t="str">
        <f aca="false">IF(AND(T$5&gt;=$E10-6,T$5&lt;=$G10),"■","")</f>
        <v/>
      </c>
    </row>
    <row r="11" customFormat="false" ht="15" hidden="false" customHeight="false" outlineLevel="0" collapsed="false">
      <c r="A11" s="14" t="s">
        <v>159</v>
      </c>
      <c r="B11" s="4" t="s">
        <v>50</v>
      </c>
      <c r="C11" s="14" t="s">
        <v>46</v>
      </c>
      <c r="D11" s="4" t="s">
        <v>51</v>
      </c>
      <c r="E11" s="22" t="n">
        <v>46307</v>
      </c>
      <c r="F11" s="23" t="n">
        <v>1</v>
      </c>
      <c r="G11" s="24" t="n">
        <f aca="false">E11+F11*7-3</f>
        <v>46311</v>
      </c>
      <c r="H11" s="14" t="s">
        <v>157</v>
      </c>
      <c r="I11" s="25" t="str">
        <f aca="false">IF(AND(I$5&gt;=$E11-6,I$5&lt;=$G11),"■","")</f>
        <v/>
      </c>
      <c r="J11" s="25" t="str">
        <f aca="false">IF(AND(J$5&gt;=$E11-6,J$5&lt;=$G11),"■","")</f>
        <v>■</v>
      </c>
      <c r="K11" s="25" t="str">
        <f aca="false">IF(AND(K$5&gt;=$E11-6,K$5&lt;=$G11),"■","")</f>
        <v/>
      </c>
      <c r="L11" s="25" t="str">
        <f aca="false">IF(AND(L$5&gt;=$E11-6,L$5&lt;=$G11),"■","")</f>
        <v/>
      </c>
      <c r="M11" s="25" t="str">
        <f aca="false">IF(AND(M$5&gt;=$E11-6,M$5&lt;=$G11),"■","")</f>
        <v/>
      </c>
      <c r="N11" s="25" t="str">
        <f aca="false">IF(AND(N$5&gt;=$E11-6,N$5&lt;=$G11),"■","")</f>
        <v/>
      </c>
      <c r="O11" s="25" t="str">
        <f aca="false">IF(AND(O$5&gt;=$E11-6,O$5&lt;=$G11),"■","")</f>
        <v/>
      </c>
      <c r="P11" s="25" t="str">
        <f aca="false">IF(AND(P$5&gt;=$E11-6,P$5&lt;=$G11),"■","")</f>
        <v/>
      </c>
      <c r="Q11" s="25" t="str">
        <f aca="false">IF(AND(Q$5&gt;=$E11-6,Q$5&lt;=$G11),"■","")</f>
        <v/>
      </c>
      <c r="R11" s="25" t="str">
        <f aca="false">IF(AND(R$5&gt;=$E11-6,R$5&lt;=$G11),"■","")</f>
        <v/>
      </c>
      <c r="S11" s="25" t="str">
        <f aca="false">IF(AND(S$5&gt;=$E11-6,S$5&lt;=$G11),"■","")</f>
        <v/>
      </c>
      <c r="T11" s="25" t="str">
        <f aca="false">IF(AND(T$5&gt;=$E11-6,T$5&lt;=$G11),"■","")</f>
        <v/>
      </c>
    </row>
    <row r="12" customFormat="false" ht="15" hidden="false" customHeight="false" outlineLevel="0" collapsed="false">
      <c r="A12" s="14" t="s">
        <v>160</v>
      </c>
      <c r="B12" s="4" t="s">
        <v>161</v>
      </c>
      <c r="C12" s="14" t="s">
        <v>46</v>
      </c>
      <c r="D12" s="4" t="s">
        <v>17</v>
      </c>
      <c r="E12" s="22" t="n">
        <v>46307</v>
      </c>
      <c r="F12" s="23" t="n">
        <v>2</v>
      </c>
      <c r="G12" s="24" t="n">
        <f aca="false">E12+F12*7-3</f>
        <v>46318</v>
      </c>
      <c r="H12" s="14" t="s">
        <v>157</v>
      </c>
      <c r="I12" s="25" t="str">
        <f aca="false">IF(AND(I$5&gt;=$E12-6,I$5&lt;=$G12),"■","")</f>
        <v/>
      </c>
      <c r="J12" s="25" t="str">
        <f aca="false">IF(AND(J$5&gt;=$E12-6,J$5&lt;=$G12),"■","")</f>
        <v>■</v>
      </c>
      <c r="K12" s="25" t="str">
        <f aca="false">IF(AND(K$5&gt;=$E12-6,K$5&lt;=$G12),"■","")</f>
        <v>■</v>
      </c>
      <c r="L12" s="25" t="str">
        <f aca="false">IF(AND(L$5&gt;=$E12-6,L$5&lt;=$G12),"■","")</f>
        <v/>
      </c>
      <c r="M12" s="25" t="str">
        <f aca="false">IF(AND(M$5&gt;=$E12-6,M$5&lt;=$G12),"■","")</f>
        <v/>
      </c>
      <c r="N12" s="25" t="str">
        <f aca="false">IF(AND(N$5&gt;=$E12-6,N$5&lt;=$G12),"■","")</f>
        <v/>
      </c>
      <c r="O12" s="25" t="str">
        <f aca="false">IF(AND(O$5&gt;=$E12-6,O$5&lt;=$G12),"■","")</f>
        <v/>
      </c>
      <c r="P12" s="25" t="str">
        <f aca="false">IF(AND(P$5&gt;=$E12-6,P$5&lt;=$G12),"■","")</f>
        <v/>
      </c>
      <c r="Q12" s="25" t="str">
        <f aca="false">IF(AND(Q$5&gt;=$E12-6,Q$5&lt;=$G12),"■","")</f>
        <v/>
      </c>
      <c r="R12" s="25" t="str">
        <f aca="false">IF(AND(R$5&gt;=$E12-6,R$5&lt;=$G12),"■","")</f>
        <v/>
      </c>
      <c r="S12" s="25" t="str">
        <f aca="false">IF(AND(S$5&gt;=$E12-6,S$5&lt;=$G12),"■","")</f>
        <v/>
      </c>
      <c r="T12" s="25" t="str">
        <f aca="false">IF(AND(T$5&gt;=$E12-6,T$5&lt;=$G12),"■","")</f>
        <v/>
      </c>
    </row>
    <row r="13" customFormat="false" ht="15" hidden="false" customHeight="false" outlineLevel="0" collapsed="false">
      <c r="A13" s="14" t="s">
        <v>162</v>
      </c>
      <c r="B13" s="4" t="s">
        <v>163</v>
      </c>
      <c r="C13" s="14" t="s">
        <v>70</v>
      </c>
      <c r="D13" s="4" t="s">
        <v>17</v>
      </c>
      <c r="E13" s="22" t="n">
        <v>46307</v>
      </c>
      <c r="F13" s="23" t="n">
        <v>2</v>
      </c>
      <c r="G13" s="24" t="n">
        <f aca="false">E13+F13*7-3</f>
        <v>46318</v>
      </c>
      <c r="H13" s="14" t="s">
        <v>157</v>
      </c>
      <c r="I13" s="25" t="str">
        <f aca="false">IF(AND(I$5&gt;=$E13-6,I$5&lt;=$G13),"■","")</f>
        <v/>
      </c>
      <c r="J13" s="25" t="str">
        <f aca="false">IF(AND(J$5&gt;=$E13-6,J$5&lt;=$G13),"■","")</f>
        <v>■</v>
      </c>
      <c r="K13" s="25" t="str">
        <f aca="false">IF(AND(K$5&gt;=$E13-6,K$5&lt;=$G13),"■","")</f>
        <v>■</v>
      </c>
      <c r="L13" s="25" t="str">
        <f aca="false">IF(AND(L$5&gt;=$E13-6,L$5&lt;=$G13),"■","")</f>
        <v/>
      </c>
      <c r="M13" s="25" t="str">
        <f aca="false">IF(AND(M$5&gt;=$E13-6,M$5&lt;=$G13),"■","")</f>
        <v/>
      </c>
      <c r="N13" s="25" t="str">
        <f aca="false">IF(AND(N$5&gt;=$E13-6,N$5&lt;=$G13),"■","")</f>
        <v/>
      </c>
      <c r="O13" s="25" t="str">
        <f aca="false">IF(AND(O$5&gt;=$E13-6,O$5&lt;=$G13),"■","")</f>
        <v/>
      </c>
      <c r="P13" s="25" t="str">
        <f aca="false">IF(AND(P$5&gt;=$E13-6,P$5&lt;=$G13),"■","")</f>
        <v/>
      </c>
      <c r="Q13" s="25" t="str">
        <f aca="false">IF(AND(Q$5&gt;=$E13-6,Q$5&lt;=$G13),"■","")</f>
        <v/>
      </c>
      <c r="R13" s="25" t="str">
        <f aca="false">IF(AND(R$5&gt;=$E13-6,R$5&lt;=$G13),"■","")</f>
        <v/>
      </c>
      <c r="S13" s="25" t="str">
        <f aca="false">IF(AND(S$5&gt;=$E13-6,S$5&lt;=$G13),"■","")</f>
        <v/>
      </c>
      <c r="T13" s="25" t="str">
        <f aca="false">IF(AND(T$5&gt;=$E13-6,T$5&lt;=$G13),"■","")</f>
        <v/>
      </c>
    </row>
    <row r="14" customFormat="false" ht="15" hidden="false" customHeight="false" outlineLevel="0" collapsed="false">
      <c r="A14" s="21" t="s">
        <v>164</v>
      </c>
      <c r="B14" s="21" t="s">
        <v>165</v>
      </c>
      <c r="C14" s="21"/>
      <c r="D14" s="21" t="s">
        <v>22</v>
      </c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</row>
    <row r="15" customFormat="false" ht="15" hidden="false" customHeight="false" outlineLevel="0" collapsed="false">
      <c r="A15" s="14" t="s">
        <v>166</v>
      </c>
      <c r="B15" s="4" t="s">
        <v>167</v>
      </c>
      <c r="C15" s="14" t="s">
        <v>58</v>
      </c>
      <c r="D15" s="4" t="s">
        <v>17</v>
      </c>
      <c r="E15" s="22" t="n">
        <v>46307</v>
      </c>
      <c r="F15" s="23" t="n">
        <v>2</v>
      </c>
      <c r="G15" s="24" t="n">
        <f aca="false">E15+F15*7-3</f>
        <v>46318</v>
      </c>
      <c r="H15" s="14" t="s">
        <v>159</v>
      </c>
      <c r="I15" s="25" t="str">
        <f aca="false">IF(AND(I$5&gt;=$E15-6,I$5&lt;=$G15),"■","")</f>
        <v/>
      </c>
      <c r="J15" s="25" t="str">
        <f aca="false">IF(AND(J$5&gt;=$E15-6,J$5&lt;=$G15),"■","")</f>
        <v>■</v>
      </c>
      <c r="K15" s="25" t="str">
        <f aca="false">IF(AND(K$5&gt;=$E15-6,K$5&lt;=$G15),"■","")</f>
        <v>■</v>
      </c>
      <c r="L15" s="25" t="str">
        <f aca="false">IF(AND(L$5&gt;=$E15-6,L$5&lt;=$G15),"■","")</f>
        <v/>
      </c>
      <c r="M15" s="25" t="str">
        <f aca="false">IF(AND(M$5&gt;=$E15-6,M$5&lt;=$G15),"■","")</f>
        <v/>
      </c>
      <c r="N15" s="25" t="str">
        <f aca="false">IF(AND(N$5&gt;=$E15-6,N$5&lt;=$G15),"■","")</f>
        <v/>
      </c>
      <c r="O15" s="25" t="str">
        <f aca="false">IF(AND(O$5&gt;=$E15-6,O$5&lt;=$G15),"■","")</f>
        <v/>
      </c>
      <c r="P15" s="25" t="str">
        <f aca="false">IF(AND(P$5&gt;=$E15-6,P$5&lt;=$G15),"■","")</f>
        <v/>
      </c>
      <c r="Q15" s="25" t="str">
        <f aca="false">IF(AND(Q$5&gt;=$E15-6,Q$5&lt;=$G15),"■","")</f>
        <v/>
      </c>
      <c r="R15" s="25" t="str">
        <f aca="false">IF(AND(R$5&gt;=$E15-6,R$5&lt;=$G15),"■","")</f>
        <v/>
      </c>
      <c r="S15" s="25" t="str">
        <f aca="false">IF(AND(S$5&gt;=$E15-6,S$5&lt;=$G15),"■","")</f>
        <v/>
      </c>
      <c r="T15" s="25" t="str">
        <f aca="false">IF(AND(T$5&gt;=$E15-6,T$5&lt;=$G15),"■","")</f>
        <v/>
      </c>
    </row>
    <row r="16" customFormat="false" ht="15" hidden="false" customHeight="false" outlineLevel="0" collapsed="false">
      <c r="A16" s="14" t="s">
        <v>168</v>
      </c>
      <c r="B16" s="4" t="s">
        <v>169</v>
      </c>
      <c r="C16" s="14" t="s">
        <v>46</v>
      </c>
      <c r="D16" s="4" t="s">
        <v>17</v>
      </c>
      <c r="E16" s="22" t="n">
        <v>46307</v>
      </c>
      <c r="F16" s="23" t="n">
        <v>2</v>
      </c>
      <c r="G16" s="24" t="n">
        <f aca="false">E16+F16*7-3</f>
        <v>46318</v>
      </c>
      <c r="H16" s="14" t="s">
        <v>170</v>
      </c>
      <c r="I16" s="25" t="str">
        <f aca="false">IF(AND(I$5&gt;=$E16-6,I$5&lt;=$G16),"■","")</f>
        <v/>
      </c>
      <c r="J16" s="25" t="str">
        <f aca="false">IF(AND(J$5&gt;=$E16-6,J$5&lt;=$G16),"■","")</f>
        <v>■</v>
      </c>
      <c r="K16" s="25" t="str">
        <f aca="false">IF(AND(K$5&gt;=$E16-6,K$5&lt;=$G16),"■","")</f>
        <v>■</v>
      </c>
      <c r="L16" s="25" t="str">
        <f aca="false">IF(AND(L$5&gt;=$E16-6,L$5&lt;=$G16),"■","")</f>
        <v/>
      </c>
      <c r="M16" s="25" t="str">
        <f aca="false">IF(AND(M$5&gt;=$E16-6,M$5&lt;=$G16),"■","")</f>
        <v/>
      </c>
      <c r="N16" s="25" t="str">
        <f aca="false">IF(AND(N$5&gt;=$E16-6,N$5&lt;=$G16),"■","")</f>
        <v/>
      </c>
      <c r="O16" s="25" t="str">
        <f aca="false">IF(AND(O$5&gt;=$E16-6,O$5&lt;=$G16),"■","")</f>
        <v/>
      </c>
      <c r="P16" s="25" t="str">
        <f aca="false">IF(AND(P$5&gt;=$E16-6,P$5&lt;=$G16),"■","")</f>
        <v/>
      </c>
      <c r="Q16" s="25" t="str">
        <f aca="false">IF(AND(Q$5&gt;=$E16-6,Q$5&lt;=$G16),"■","")</f>
        <v/>
      </c>
      <c r="R16" s="25" t="str">
        <f aca="false">IF(AND(R$5&gt;=$E16-6,R$5&lt;=$G16),"■","")</f>
        <v/>
      </c>
      <c r="S16" s="25" t="str">
        <f aca="false">IF(AND(S$5&gt;=$E16-6,S$5&lt;=$G16),"■","")</f>
        <v/>
      </c>
      <c r="T16" s="25" t="str">
        <f aca="false">IF(AND(T$5&gt;=$E16-6,T$5&lt;=$G16),"■","")</f>
        <v/>
      </c>
    </row>
    <row r="17" customFormat="false" ht="23.85" hidden="false" customHeight="false" outlineLevel="0" collapsed="false">
      <c r="A17" s="14" t="s">
        <v>171</v>
      </c>
      <c r="B17" s="4" t="s">
        <v>76</v>
      </c>
      <c r="C17" s="14" t="s">
        <v>70</v>
      </c>
      <c r="D17" s="4" t="s">
        <v>22</v>
      </c>
      <c r="E17" s="22" t="n">
        <v>46314</v>
      </c>
      <c r="F17" s="23" t="n">
        <v>1</v>
      </c>
      <c r="G17" s="24" t="n">
        <f aca="false">E17+F17*7-3</f>
        <v>46318</v>
      </c>
      <c r="H17" s="14" t="s">
        <v>162</v>
      </c>
      <c r="I17" s="25" t="str">
        <f aca="false">IF(AND(I$5&gt;=$E17-6,I$5&lt;=$G17),"■","")</f>
        <v/>
      </c>
      <c r="J17" s="25" t="str">
        <f aca="false">IF(AND(J$5&gt;=$E17-6,J$5&lt;=$G17),"■","")</f>
        <v/>
      </c>
      <c r="K17" s="25" t="str">
        <f aca="false">IF(AND(K$5&gt;=$E17-6,K$5&lt;=$G17),"■","")</f>
        <v>■</v>
      </c>
      <c r="L17" s="25" t="str">
        <f aca="false">IF(AND(L$5&gt;=$E17-6,L$5&lt;=$G17),"■","")</f>
        <v/>
      </c>
      <c r="M17" s="25" t="str">
        <f aca="false">IF(AND(M$5&gt;=$E17-6,M$5&lt;=$G17),"■","")</f>
        <v/>
      </c>
      <c r="N17" s="25" t="str">
        <f aca="false">IF(AND(N$5&gt;=$E17-6,N$5&lt;=$G17),"■","")</f>
        <v/>
      </c>
      <c r="O17" s="25" t="str">
        <f aca="false">IF(AND(O$5&gt;=$E17-6,O$5&lt;=$G17),"■","")</f>
        <v/>
      </c>
      <c r="P17" s="25" t="str">
        <f aca="false">IF(AND(P$5&gt;=$E17-6,P$5&lt;=$G17),"■","")</f>
        <v/>
      </c>
      <c r="Q17" s="25" t="str">
        <f aca="false">IF(AND(Q$5&gt;=$E17-6,Q$5&lt;=$G17),"■","")</f>
        <v/>
      </c>
      <c r="R17" s="25" t="str">
        <f aca="false">IF(AND(R$5&gt;=$E17-6,R$5&lt;=$G17),"■","")</f>
        <v/>
      </c>
      <c r="S17" s="25" t="str">
        <f aca="false">IF(AND(S$5&gt;=$E17-6,S$5&lt;=$G17),"■","")</f>
        <v/>
      </c>
      <c r="T17" s="25" t="str">
        <f aca="false">IF(AND(T$5&gt;=$E17-6,T$5&lt;=$G17),"■","")</f>
        <v/>
      </c>
    </row>
    <row r="18" customFormat="false" ht="15" hidden="false" customHeight="false" outlineLevel="0" collapsed="false">
      <c r="A18" s="14" t="s">
        <v>172</v>
      </c>
      <c r="B18" s="4" t="s">
        <v>78</v>
      </c>
      <c r="C18" s="14" t="s">
        <v>70</v>
      </c>
      <c r="D18" s="4" t="s">
        <v>22</v>
      </c>
      <c r="E18" s="22" t="n">
        <v>46314</v>
      </c>
      <c r="F18" s="23" t="n">
        <v>1</v>
      </c>
      <c r="G18" s="24" t="n">
        <f aca="false">E18+F18*7-3</f>
        <v>46318</v>
      </c>
      <c r="H18" s="14" t="s">
        <v>173</v>
      </c>
      <c r="I18" s="25" t="str">
        <f aca="false">IF(AND(I$5&gt;=$E18-6,I$5&lt;=$G18),"■","")</f>
        <v/>
      </c>
      <c r="J18" s="25" t="str">
        <f aca="false">IF(AND(J$5&gt;=$E18-6,J$5&lt;=$G18),"■","")</f>
        <v/>
      </c>
      <c r="K18" s="25" t="str">
        <f aca="false">IF(AND(K$5&gt;=$E18-6,K$5&lt;=$G18),"■","")</f>
        <v>■</v>
      </c>
      <c r="L18" s="25" t="str">
        <f aca="false">IF(AND(L$5&gt;=$E18-6,L$5&lt;=$G18),"■","")</f>
        <v/>
      </c>
      <c r="M18" s="25" t="str">
        <f aca="false">IF(AND(M$5&gt;=$E18-6,M$5&lt;=$G18),"■","")</f>
        <v/>
      </c>
      <c r="N18" s="25" t="str">
        <f aca="false">IF(AND(N$5&gt;=$E18-6,N$5&lt;=$G18),"■","")</f>
        <v/>
      </c>
      <c r="O18" s="25" t="str">
        <f aca="false">IF(AND(O$5&gt;=$E18-6,O$5&lt;=$G18),"■","")</f>
        <v/>
      </c>
      <c r="P18" s="25" t="str">
        <f aca="false">IF(AND(P$5&gt;=$E18-6,P$5&lt;=$G18),"■","")</f>
        <v/>
      </c>
      <c r="Q18" s="25" t="str">
        <f aca="false">IF(AND(Q$5&gt;=$E18-6,Q$5&lt;=$G18),"■","")</f>
        <v/>
      </c>
      <c r="R18" s="25" t="str">
        <f aca="false">IF(AND(R$5&gt;=$E18-6,R$5&lt;=$G18),"■","")</f>
        <v/>
      </c>
      <c r="S18" s="25" t="str">
        <f aca="false">IF(AND(S$5&gt;=$E18-6,S$5&lt;=$G18),"■","")</f>
        <v/>
      </c>
      <c r="T18" s="25" t="str">
        <f aca="false">IF(AND(T$5&gt;=$E18-6,T$5&lt;=$G18),"■","")</f>
        <v/>
      </c>
    </row>
    <row r="19" customFormat="false" ht="15" hidden="false" customHeight="false" outlineLevel="0" collapsed="false">
      <c r="A19" s="14" t="s">
        <v>174</v>
      </c>
      <c r="B19" s="4" t="s">
        <v>175</v>
      </c>
      <c r="C19" s="14" t="s">
        <v>64</v>
      </c>
      <c r="D19" s="4" t="s">
        <v>22</v>
      </c>
      <c r="E19" s="22" t="n">
        <v>46314</v>
      </c>
      <c r="F19" s="23" t="n">
        <v>1</v>
      </c>
      <c r="G19" s="24" t="n">
        <f aca="false">E19+F19*7-3</f>
        <v>46318</v>
      </c>
      <c r="H19" s="14" t="s">
        <v>168</v>
      </c>
      <c r="I19" s="25" t="str">
        <f aca="false">IF(AND(I$5&gt;=$E19-6,I$5&lt;=$G19),"■","")</f>
        <v/>
      </c>
      <c r="J19" s="25" t="str">
        <f aca="false">IF(AND(J$5&gt;=$E19-6,J$5&lt;=$G19),"■","")</f>
        <v/>
      </c>
      <c r="K19" s="25" t="str">
        <f aca="false">IF(AND(K$5&gt;=$E19-6,K$5&lt;=$G19),"■","")</f>
        <v>■</v>
      </c>
      <c r="L19" s="25" t="str">
        <f aca="false">IF(AND(L$5&gt;=$E19-6,L$5&lt;=$G19),"■","")</f>
        <v/>
      </c>
      <c r="M19" s="25" t="str">
        <f aca="false">IF(AND(M$5&gt;=$E19-6,M$5&lt;=$G19),"■","")</f>
        <v/>
      </c>
      <c r="N19" s="25" t="str">
        <f aca="false">IF(AND(N$5&gt;=$E19-6,N$5&lt;=$G19),"■","")</f>
        <v/>
      </c>
      <c r="O19" s="25" t="str">
        <f aca="false">IF(AND(O$5&gt;=$E19-6,O$5&lt;=$G19),"■","")</f>
        <v/>
      </c>
      <c r="P19" s="25" t="str">
        <f aca="false">IF(AND(P$5&gt;=$E19-6,P$5&lt;=$G19),"■","")</f>
        <v/>
      </c>
      <c r="Q19" s="25" t="str">
        <f aca="false">IF(AND(Q$5&gt;=$E19-6,Q$5&lt;=$G19),"■","")</f>
        <v/>
      </c>
      <c r="R19" s="25" t="str">
        <f aca="false">IF(AND(R$5&gt;=$E19-6,R$5&lt;=$G19),"■","")</f>
        <v/>
      </c>
      <c r="S19" s="25" t="str">
        <f aca="false">IF(AND(S$5&gt;=$E19-6,S$5&lt;=$G19),"■","")</f>
        <v/>
      </c>
      <c r="T19" s="25" t="str">
        <f aca="false">IF(AND(T$5&gt;=$E19-6,T$5&lt;=$G19),"■","")</f>
        <v/>
      </c>
    </row>
    <row r="20" customFormat="false" ht="15" hidden="false" customHeight="false" outlineLevel="0" collapsed="false">
      <c r="A20" s="14" t="s">
        <v>176</v>
      </c>
      <c r="B20" s="4" t="s">
        <v>56</v>
      </c>
      <c r="C20" s="14" t="s">
        <v>46</v>
      </c>
      <c r="D20" s="4" t="s">
        <v>22</v>
      </c>
      <c r="E20" s="22" t="n">
        <v>46314</v>
      </c>
      <c r="F20" s="23" t="n">
        <v>1</v>
      </c>
      <c r="G20" s="24" t="n">
        <f aca="false">E20+F20*7-3</f>
        <v>46318</v>
      </c>
      <c r="H20" s="14" t="s">
        <v>177</v>
      </c>
      <c r="I20" s="25" t="str">
        <f aca="false">IF(AND(I$5&gt;=$E20-6,I$5&lt;=$G20),"■","")</f>
        <v/>
      </c>
      <c r="J20" s="25" t="str">
        <f aca="false">IF(AND(J$5&gt;=$E20-6,J$5&lt;=$G20),"■","")</f>
        <v/>
      </c>
      <c r="K20" s="25" t="str">
        <f aca="false">IF(AND(K$5&gt;=$E20-6,K$5&lt;=$G20),"■","")</f>
        <v>■</v>
      </c>
      <c r="L20" s="25" t="str">
        <f aca="false">IF(AND(L$5&gt;=$E20-6,L$5&lt;=$G20),"■","")</f>
        <v/>
      </c>
      <c r="M20" s="25" t="str">
        <f aca="false">IF(AND(M$5&gt;=$E20-6,M$5&lt;=$G20),"■","")</f>
        <v/>
      </c>
      <c r="N20" s="25" t="str">
        <f aca="false">IF(AND(N$5&gt;=$E20-6,N$5&lt;=$G20),"■","")</f>
        <v/>
      </c>
      <c r="O20" s="25" t="str">
        <f aca="false">IF(AND(O$5&gt;=$E20-6,O$5&lt;=$G20),"■","")</f>
        <v/>
      </c>
      <c r="P20" s="25" t="str">
        <f aca="false">IF(AND(P$5&gt;=$E20-6,P$5&lt;=$G20),"■","")</f>
        <v/>
      </c>
      <c r="Q20" s="25" t="str">
        <f aca="false">IF(AND(Q$5&gt;=$E20-6,Q$5&lt;=$G20),"■","")</f>
        <v/>
      </c>
      <c r="R20" s="25" t="str">
        <f aca="false">IF(AND(R$5&gt;=$E20-6,R$5&lt;=$G20),"■","")</f>
        <v/>
      </c>
      <c r="S20" s="25" t="str">
        <f aca="false">IF(AND(S$5&gt;=$E20-6,S$5&lt;=$G20),"■","")</f>
        <v/>
      </c>
      <c r="T20" s="25" t="str">
        <f aca="false">IF(AND(T$5&gt;=$E20-6,T$5&lt;=$G20),"■","")</f>
        <v/>
      </c>
    </row>
    <row r="21" customFormat="false" ht="15" hidden="false" customHeight="false" outlineLevel="0" collapsed="false">
      <c r="A21" s="21" t="s">
        <v>178</v>
      </c>
      <c r="B21" s="21" t="s">
        <v>179</v>
      </c>
      <c r="C21" s="21"/>
      <c r="D21" s="21" t="s">
        <v>180</v>
      </c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</row>
    <row r="22" customFormat="false" ht="15" hidden="false" customHeight="false" outlineLevel="0" collapsed="false">
      <c r="A22" s="14" t="s">
        <v>181</v>
      </c>
      <c r="B22" s="4" t="s">
        <v>182</v>
      </c>
      <c r="C22" s="14" t="s">
        <v>46</v>
      </c>
      <c r="D22" s="4" t="s">
        <v>130</v>
      </c>
      <c r="E22" s="22" t="n">
        <v>46321</v>
      </c>
      <c r="F22" s="23" t="n">
        <v>1</v>
      </c>
      <c r="G22" s="24" t="n">
        <f aca="false">E22+F22*7-3</f>
        <v>46325</v>
      </c>
      <c r="H22" s="14" t="s">
        <v>176</v>
      </c>
      <c r="I22" s="25" t="str">
        <f aca="false">IF(AND(I$5&gt;=$E22-6,I$5&lt;=$G22),"■","")</f>
        <v/>
      </c>
      <c r="J22" s="25" t="str">
        <f aca="false">IF(AND(J$5&gt;=$E22-6,J$5&lt;=$G22),"■","")</f>
        <v/>
      </c>
      <c r="K22" s="25" t="str">
        <f aca="false">IF(AND(K$5&gt;=$E22-6,K$5&lt;=$G22),"■","")</f>
        <v/>
      </c>
      <c r="L22" s="25" t="str">
        <f aca="false">IF(AND(L$5&gt;=$E22-6,L$5&lt;=$G22),"■","")</f>
        <v>■</v>
      </c>
      <c r="M22" s="25" t="str">
        <f aca="false">IF(AND(M$5&gt;=$E22-6,M$5&lt;=$G22),"■","")</f>
        <v/>
      </c>
      <c r="N22" s="25" t="str">
        <f aca="false">IF(AND(N$5&gt;=$E22-6,N$5&lt;=$G22),"■","")</f>
        <v/>
      </c>
      <c r="O22" s="25" t="str">
        <f aca="false">IF(AND(O$5&gt;=$E22-6,O$5&lt;=$G22),"■","")</f>
        <v/>
      </c>
      <c r="P22" s="25" t="str">
        <f aca="false">IF(AND(P$5&gt;=$E22-6,P$5&lt;=$G22),"■","")</f>
        <v/>
      </c>
      <c r="Q22" s="25" t="str">
        <f aca="false">IF(AND(Q$5&gt;=$E22-6,Q$5&lt;=$G22),"■","")</f>
        <v/>
      </c>
      <c r="R22" s="25" t="str">
        <f aca="false">IF(AND(R$5&gt;=$E22-6,R$5&lt;=$G22),"■","")</f>
        <v/>
      </c>
      <c r="S22" s="25" t="str">
        <f aca="false">IF(AND(S$5&gt;=$E22-6,S$5&lt;=$G22),"■","")</f>
        <v/>
      </c>
      <c r="T22" s="25" t="str">
        <f aca="false">IF(AND(T$5&gt;=$E22-6,T$5&lt;=$G22),"■","")</f>
        <v/>
      </c>
    </row>
    <row r="23" customFormat="false" ht="23.85" hidden="false" customHeight="false" outlineLevel="0" collapsed="false">
      <c r="A23" s="14" t="s">
        <v>183</v>
      </c>
      <c r="B23" s="4" t="s">
        <v>184</v>
      </c>
      <c r="C23" s="14" t="s">
        <v>80</v>
      </c>
      <c r="D23" s="4" t="s">
        <v>185</v>
      </c>
      <c r="E23" s="22" t="n">
        <v>46328</v>
      </c>
      <c r="F23" s="23" t="n">
        <v>1</v>
      </c>
      <c r="G23" s="24" t="n">
        <f aca="false">E23+F23*7-3</f>
        <v>46332</v>
      </c>
      <c r="H23" s="14" t="s">
        <v>181</v>
      </c>
      <c r="I23" s="25" t="str">
        <f aca="false">IF(AND(I$5&gt;=$E23-6,I$5&lt;=$G23),"■","")</f>
        <v/>
      </c>
      <c r="J23" s="25" t="str">
        <f aca="false">IF(AND(J$5&gt;=$E23-6,J$5&lt;=$G23),"■","")</f>
        <v/>
      </c>
      <c r="K23" s="25" t="str">
        <f aca="false">IF(AND(K$5&gt;=$E23-6,K$5&lt;=$G23),"■","")</f>
        <v/>
      </c>
      <c r="L23" s="25" t="str">
        <f aca="false">IF(AND(L$5&gt;=$E23-6,L$5&lt;=$G23),"■","")</f>
        <v/>
      </c>
      <c r="M23" s="25" t="str">
        <f aca="false">IF(AND(M$5&gt;=$E23-6,M$5&lt;=$G23),"■","")</f>
        <v>■</v>
      </c>
      <c r="N23" s="25" t="str">
        <f aca="false">IF(AND(N$5&gt;=$E23-6,N$5&lt;=$G23),"■","")</f>
        <v/>
      </c>
      <c r="O23" s="25" t="str">
        <f aca="false">IF(AND(O$5&gt;=$E23-6,O$5&lt;=$G23),"■","")</f>
        <v/>
      </c>
      <c r="P23" s="25" t="str">
        <f aca="false">IF(AND(P$5&gt;=$E23-6,P$5&lt;=$G23),"■","")</f>
        <v/>
      </c>
      <c r="Q23" s="25" t="str">
        <f aca="false">IF(AND(Q$5&gt;=$E23-6,Q$5&lt;=$G23),"■","")</f>
        <v/>
      </c>
      <c r="R23" s="25" t="str">
        <f aca="false">IF(AND(R$5&gt;=$E23-6,R$5&lt;=$G23),"■","")</f>
        <v/>
      </c>
      <c r="S23" s="25" t="str">
        <f aca="false">IF(AND(S$5&gt;=$E23-6,S$5&lt;=$G23),"■","")</f>
        <v/>
      </c>
      <c r="T23" s="25" t="str">
        <f aca="false">IF(AND(T$5&gt;=$E23-6,T$5&lt;=$G23),"■","")</f>
        <v/>
      </c>
    </row>
    <row r="24" customFormat="false" ht="15" hidden="false" customHeight="false" outlineLevel="0" collapsed="false">
      <c r="A24" s="14" t="s">
        <v>186</v>
      </c>
      <c r="B24" s="4" t="s">
        <v>187</v>
      </c>
      <c r="C24" s="14" t="s">
        <v>58</v>
      </c>
      <c r="D24" s="4" t="s">
        <v>188</v>
      </c>
      <c r="E24" s="22" t="n">
        <v>46335</v>
      </c>
      <c r="F24" s="23" t="n">
        <v>2</v>
      </c>
      <c r="G24" s="24" t="n">
        <f aca="false">E24+F24*7-3</f>
        <v>46346</v>
      </c>
      <c r="H24" s="14" t="s">
        <v>183</v>
      </c>
      <c r="I24" s="25" t="str">
        <f aca="false">IF(AND(I$5&gt;=$E24-6,I$5&lt;=$G24),"■","")</f>
        <v/>
      </c>
      <c r="J24" s="25" t="str">
        <f aca="false">IF(AND(J$5&gt;=$E24-6,J$5&lt;=$G24),"■","")</f>
        <v/>
      </c>
      <c r="K24" s="25" t="str">
        <f aca="false">IF(AND(K$5&gt;=$E24-6,K$5&lt;=$G24),"■","")</f>
        <v/>
      </c>
      <c r="L24" s="25" t="str">
        <f aca="false">IF(AND(L$5&gt;=$E24-6,L$5&lt;=$G24),"■","")</f>
        <v/>
      </c>
      <c r="M24" s="25" t="str">
        <f aca="false">IF(AND(M$5&gt;=$E24-6,M$5&lt;=$G24),"■","")</f>
        <v/>
      </c>
      <c r="N24" s="25" t="str">
        <f aca="false">IF(AND(N$5&gt;=$E24-6,N$5&lt;=$G24),"■","")</f>
        <v>■</v>
      </c>
      <c r="O24" s="25" t="str">
        <f aca="false">IF(AND(O$5&gt;=$E24-6,O$5&lt;=$G24),"■","")</f>
        <v>■</v>
      </c>
      <c r="P24" s="25" t="str">
        <f aca="false">IF(AND(P$5&gt;=$E24-6,P$5&lt;=$G24),"■","")</f>
        <v/>
      </c>
      <c r="Q24" s="25" t="str">
        <f aca="false">IF(AND(Q$5&gt;=$E24-6,Q$5&lt;=$G24),"■","")</f>
        <v/>
      </c>
      <c r="R24" s="25" t="str">
        <f aca="false">IF(AND(R$5&gt;=$E24-6,R$5&lt;=$G24),"■","")</f>
        <v/>
      </c>
      <c r="S24" s="25" t="str">
        <f aca="false">IF(AND(S$5&gt;=$E24-6,S$5&lt;=$G24),"■","")</f>
        <v/>
      </c>
      <c r="T24" s="25" t="str">
        <f aca="false">IF(AND(T$5&gt;=$E24-6,T$5&lt;=$G24),"■","")</f>
        <v/>
      </c>
    </row>
    <row r="25" customFormat="false" ht="15" hidden="false" customHeight="false" outlineLevel="0" collapsed="false">
      <c r="A25" s="14" t="s">
        <v>189</v>
      </c>
      <c r="B25" s="4" t="s">
        <v>190</v>
      </c>
      <c r="C25" s="14" t="s">
        <v>64</v>
      </c>
      <c r="D25" s="4" t="s">
        <v>188</v>
      </c>
      <c r="E25" s="22" t="n">
        <v>46335</v>
      </c>
      <c r="F25" s="23" t="n">
        <v>2</v>
      </c>
      <c r="G25" s="24" t="n">
        <f aca="false">E25+F25*7-3</f>
        <v>46346</v>
      </c>
      <c r="H25" s="14" t="s">
        <v>183</v>
      </c>
      <c r="I25" s="25" t="str">
        <f aca="false">IF(AND(I$5&gt;=$E25-6,I$5&lt;=$G25),"■","")</f>
        <v/>
      </c>
      <c r="J25" s="25" t="str">
        <f aca="false">IF(AND(J$5&gt;=$E25-6,J$5&lt;=$G25),"■","")</f>
        <v/>
      </c>
      <c r="K25" s="25" t="str">
        <f aca="false">IF(AND(K$5&gt;=$E25-6,K$5&lt;=$G25),"■","")</f>
        <v/>
      </c>
      <c r="L25" s="25" t="str">
        <f aca="false">IF(AND(L$5&gt;=$E25-6,L$5&lt;=$G25),"■","")</f>
        <v/>
      </c>
      <c r="M25" s="25" t="str">
        <f aca="false">IF(AND(M$5&gt;=$E25-6,M$5&lt;=$G25),"■","")</f>
        <v/>
      </c>
      <c r="N25" s="25" t="str">
        <f aca="false">IF(AND(N$5&gt;=$E25-6,N$5&lt;=$G25),"■","")</f>
        <v>■</v>
      </c>
      <c r="O25" s="25" t="str">
        <f aca="false">IF(AND(O$5&gt;=$E25-6,O$5&lt;=$G25),"■","")</f>
        <v>■</v>
      </c>
      <c r="P25" s="25" t="str">
        <f aca="false">IF(AND(P$5&gt;=$E25-6,P$5&lt;=$G25),"■","")</f>
        <v/>
      </c>
      <c r="Q25" s="25" t="str">
        <f aca="false">IF(AND(Q$5&gt;=$E25-6,Q$5&lt;=$G25),"■","")</f>
        <v/>
      </c>
      <c r="R25" s="25" t="str">
        <f aca="false">IF(AND(R$5&gt;=$E25-6,R$5&lt;=$G25),"■","")</f>
        <v/>
      </c>
      <c r="S25" s="25" t="str">
        <f aca="false">IF(AND(S$5&gt;=$E25-6,S$5&lt;=$G25),"■","")</f>
        <v/>
      </c>
      <c r="T25" s="25" t="str">
        <f aca="false">IF(AND(T$5&gt;=$E25-6,T$5&lt;=$G25),"■","")</f>
        <v/>
      </c>
    </row>
    <row r="26" customFormat="false" ht="15" hidden="false" customHeight="false" outlineLevel="0" collapsed="false">
      <c r="A26" s="14" t="s">
        <v>191</v>
      </c>
      <c r="B26" s="4" t="s">
        <v>192</v>
      </c>
      <c r="C26" s="14" t="s">
        <v>70</v>
      </c>
      <c r="D26" s="4" t="s">
        <v>188</v>
      </c>
      <c r="E26" s="22" t="n">
        <v>46335</v>
      </c>
      <c r="F26" s="23" t="n">
        <v>2</v>
      </c>
      <c r="G26" s="24" t="n">
        <f aca="false">E26+F26*7-3</f>
        <v>46346</v>
      </c>
      <c r="H26" s="14" t="s">
        <v>183</v>
      </c>
      <c r="I26" s="25" t="str">
        <f aca="false">IF(AND(I$5&gt;=$E26-6,I$5&lt;=$G26),"■","")</f>
        <v/>
      </c>
      <c r="J26" s="25" t="str">
        <f aca="false">IF(AND(J$5&gt;=$E26-6,J$5&lt;=$G26),"■","")</f>
        <v/>
      </c>
      <c r="K26" s="25" t="str">
        <f aca="false">IF(AND(K$5&gt;=$E26-6,K$5&lt;=$G26),"■","")</f>
        <v/>
      </c>
      <c r="L26" s="25" t="str">
        <f aca="false">IF(AND(L$5&gt;=$E26-6,L$5&lt;=$G26),"■","")</f>
        <v/>
      </c>
      <c r="M26" s="25" t="str">
        <f aca="false">IF(AND(M$5&gt;=$E26-6,M$5&lt;=$G26),"■","")</f>
        <v/>
      </c>
      <c r="N26" s="25" t="str">
        <f aca="false">IF(AND(N$5&gt;=$E26-6,N$5&lt;=$G26),"■","")</f>
        <v>■</v>
      </c>
      <c r="O26" s="25" t="str">
        <f aca="false">IF(AND(O$5&gt;=$E26-6,O$5&lt;=$G26),"■","")</f>
        <v>■</v>
      </c>
      <c r="P26" s="25" t="str">
        <f aca="false">IF(AND(P$5&gt;=$E26-6,P$5&lt;=$G26),"■","")</f>
        <v/>
      </c>
      <c r="Q26" s="25" t="str">
        <f aca="false">IF(AND(Q$5&gt;=$E26-6,Q$5&lt;=$G26),"■","")</f>
        <v/>
      </c>
      <c r="R26" s="25" t="str">
        <f aca="false">IF(AND(R$5&gt;=$E26-6,R$5&lt;=$G26),"■","")</f>
        <v/>
      </c>
      <c r="S26" s="25" t="str">
        <f aca="false">IF(AND(S$5&gt;=$E26-6,S$5&lt;=$G26),"■","")</f>
        <v/>
      </c>
      <c r="T26" s="25" t="str">
        <f aca="false">IF(AND(T$5&gt;=$E26-6,T$5&lt;=$G26),"■","")</f>
        <v/>
      </c>
    </row>
    <row r="27" customFormat="false" ht="15" hidden="false" customHeight="false" outlineLevel="0" collapsed="false">
      <c r="A27" s="14" t="s">
        <v>193</v>
      </c>
      <c r="B27" s="4" t="s">
        <v>194</v>
      </c>
      <c r="C27" s="14" t="s">
        <v>70</v>
      </c>
      <c r="D27" s="4" t="s">
        <v>195</v>
      </c>
      <c r="E27" s="22" t="n">
        <v>46349</v>
      </c>
      <c r="F27" s="23" t="n">
        <v>1</v>
      </c>
      <c r="G27" s="24" t="n">
        <f aca="false">E27+F27*7-3</f>
        <v>46353</v>
      </c>
      <c r="H27" s="14" t="s">
        <v>196</v>
      </c>
      <c r="I27" s="25" t="str">
        <f aca="false">IF(AND(I$5&gt;=$E27-6,I$5&lt;=$G27),"■","")</f>
        <v/>
      </c>
      <c r="J27" s="25" t="str">
        <f aca="false">IF(AND(J$5&gt;=$E27-6,J$5&lt;=$G27),"■","")</f>
        <v/>
      </c>
      <c r="K27" s="25" t="str">
        <f aca="false">IF(AND(K$5&gt;=$E27-6,K$5&lt;=$G27),"■","")</f>
        <v/>
      </c>
      <c r="L27" s="25" t="str">
        <f aca="false">IF(AND(L$5&gt;=$E27-6,L$5&lt;=$G27),"■","")</f>
        <v/>
      </c>
      <c r="M27" s="25" t="str">
        <f aca="false">IF(AND(M$5&gt;=$E27-6,M$5&lt;=$G27),"■","")</f>
        <v/>
      </c>
      <c r="N27" s="25" t="str">
        <f aca="false">IF(AND(N$5&gt;=$E27-6,N$5&lt;=$G27),"■","")</f>
        <v/>
      </c>
      <c r="O27" s="25" t="str">
        <f aca="false">IF(AND(O$5&gt;=$E27-6,O$5&lt;=$G27),"■","")</f>
        <v/>
      </c>
      <c r="P27" s="25" t="str">
        <f aca="false">IF(AND(P$5&gt;=$E27-6,P$5&lt;=$G27),"■","")</f>
        <v>■</v>
      </c>
      <c r="Q27" s="25" t="str">
        <f aca="false">IF(AND(Q$5&gt;=$E27-6,Q$5&lt;=$G27),"■","")</f>
        <v/>
      </c>
      <c r="R27" s="25" t="str">
        <f aca="false">IF(AND(R$5&gt;=$E27-6,R$5&lt;=$G27),"■","")</f>
        <v/>
      </c>
      <c r="S27" s="25" t="str">
        <f aca="false">IF(AND(S$5&gt;=$E27-6,S$5&lt;=$G27),"■","")</f>
        <v/>
      </c>
      <c r="T27" s="25" t="str">
        <f aca="false">IF(AND(T$5&gt;=$E27-6,T$5&lt;=$G27),"■","")</f>
        <v/>
      </c>
    </row>
    <row r="28" customFormat="false" ht="15" hidden="false" customHeight="false" outlineLevel="0" collapsed="false">
      <c r="A28" s="14" t="s">
        <v>197</v>
      </c>
      <c r="B28" s="4" t="s">
        <v>198</v>
      </c>
      <c r="C28" s="14" t="s">
        <v>80</v>
      </c>
      <c r="D28" s="4" t="s">
        <v>188</v>
      </c>
      <c r="E28" s="22" t="n">
        <v>46356</v>
      </c>
      <c r="F28" s="23" t="n">
        <v>1</v>
      </c>
      <c r="G28" s="24" t="n">
        <f aca="false">E28+F28*7-3</f>
        <v>46360</v>
      </c>
      <c r="H28" s="14" t="s">
        <v>193</v>
      </c>
      <c r="I28" s="25" t="str">
        <f aca="false">IF(AND(I$5&gt;=$E28-6,I$5&lt;=$G28),"■","")</f>
        <v/>
      </c>
      <c r="J28" s="25" t="str">
        <f aca="false">IF(AND(J$5&gt;=$E28-6,J$5&lt;=$G28),"■","")</f>
        <v/>
      </c>
      <c r="K28" s="25" t="str">
        <f aca="false">IF(AND(K$5&gt;=$E28-6,K$5&lt;=$G28),"■","")</f>
        <v/>
      </c>
      <c r="L28" s="25" t="str">
        <f aca="false">IF(AND(L$5&gt;=$E28-6,L$5&lt;=$G28),"■","")</f>
        <v/>
      </c>
      <c r="M28" s="25" t="str">
        <f aca="false">IF(AND(M$5&gt;=$E28-6,M$5&lt;=$G28),"■","")</f>
        <v/>
      </c>
      <c r="N28" s="25" t="str">
        <f aca="false">IF(AND(N$5&gt;=$E28-6,N$5&lt;=$G28),"■","")</f>
        <v/>
      </c>
      <c r="O28" s="25" t="str">
        <f aca="false">IF(AND(O$5&gt;=$E28-6,O$5&lt;=$G28),"■","")</f>
        <v/>
      </c>
      <c r="P28" s="25" t="str">
        <f aca="false">IF(AND(P$5&gt;=$E28-6,P$5&lt;=$G28),"■","")</f>
        <v/>
      </c>
      <c r="Q28" s="25" t="str">
        <f aca="false">IF(AND(Q$5&gt;=$E28-6,Q$5&lt;=$G28),"■","")</f>
        <v>■</v>
      </c>
      <c r="R28" s="25" t="str">
        <f aca="false">IF(AND(R$5&gt;=$E28-6,R$5&lt;=$G28),"■","")</f>
        <v/>
      </c>
      <c r="S28" s="25" t="str">
        <f aca="false">IF(AND(S$5&gt;=$E28-6,S$5&lt;=$G28),"■","")</f>
        <v/>
      </c>
      <c r="T28" s="25" t="str">
        <f aca="false">IF(AND(T$5&gt;=$E28-6,T$5&lt;=$G28),"■","")</f>
        <v/>
      </c>
    </row>
    <row r="29" customFormat="false" ht="15" hidden="false" customHeight="false" outlineLevel="0" collapsed="false">
      <c r="A29" s="14" t="s">
        <v>199</v>
      </c>
      <c r="B29" s="4" t="s">
        <v>200</v>
      </c>
      <c r="C29" s="14" t="s">
        <v>58</v>
      </c>
      <c r="D29" s="4" t="s">
        <v>188</v>
      </c>
      <c r="E29" s="22" t="n">
        <v>46363</v>
      </c>
      <c r="F29" s="23" t="n">
        <v>1</v>
      </c>
      <c r="G29" s="24" t="n">
        <f aca="false">E29+F29*7-3</f>
        <v>46367</v>
      </c>
      <c r="H29" s="14" t="s">
        <v>197</v>
      </c>
      <c r="I29" s="25" t="str">
        <f aca="false">IF(AND(I$5&gt;=$E29-6,I$5&lt;=$G29),"■","")</f>
        <v/>
      </c>
      <c r="J29" s="25" t="str">
        <f aca="false">IF(AND(J$5&gt;=$E29-6,J$5&lt;=$G29),"■","")</f>
        <v/>
      </c>
      <c r="K29" s="25" t="str">
        <f aca="false">IF(AND(K$5&gt;=$E29-6,K$5&lt;=$G29),"■","")</f>
        <v/>
      </c>
      <c r="L29" s="25" t="str">
        <f aca="false">IF(AND(L$5&gt;=$E29-6,L$5&lt;=$G29),"■","")</f>
        <v/>
      </c>
      <c r="M29" s="25" t="str">
        <f aca="false">IF(AND(M$5&gt;=$E29-6,M$5&lt;=$G29),"■","")</f>
        <v/>
      </c>
      <c r="N29" s="25" t="str">
        <f aca="false">IF(AND(N$5&gt;=$E29-6,N$5&lt;=$G29),"■","")</f>
        <v/>
      </c>
      <c r="O29" s="25" t="str">
        <f aca="false">IF(AND(O$5&gt;=$E29-6,O$5&lt;=$G29),"■","")</f>
        <v/>
      </c>
      <c r="P29" s="25" t="str">
        <f aca="false">IF(AND(P$5&gt;=$E29-6,P$5&lt;=$G29),"■","")</f>
        <v/>
      </c>
      <c r="Q29" s="25" t="str">
        <f aca="false">IF(AND(Q$5&gt;=$E29-6,Q$5&lt;=$G29),"■","")</f>
        <v/>
      </c>
      <c r="R29" s="25" t="str">
        <f aca="false">IF(AND(R$5&gt;=$E29-6,R$5&lt;=$G29),"■","")</f>
        <v>■</v>
      </c>
      <c r="S29" s="25" t="str">
        <f aca="false">IF(AND(S$5&gt;=$E29-6,S$5&lt;=$G29),"■","")</f>
        <v/>
      </c>
      <c r="T29" s="25" t="str">
        <f aca="false">IF(AND(T$5&gt;=$E29-6,T$5&lt;=$G29),"■","")</f>
        <v/>
      </c>
    </row>
    <row r="30" customFormat="false" ht="15" hidden="false" customHeight="false" outlineLevel="0" collapsed="false">
      <c r="A30" s="14" t="s">
        <v>201</v>
      </c>
      <c r="B30" s="4" t="s">
        <v>202</v>
      </c>
      <c r="C30" s="14" t="s">
        <v>46</v>
      </c>
      <c r="D30" s="4" t="s">
        <v>195</v>
      </c>
      <c r="E30" s="22" t="n">
        <v>46321</v>
      </c>
      <c r="F30" s="23" t="n">
        <v>8</v>
      </c>
      <c r="G30" s="24" t="n">
        <f aca="false">E30+F30*7-3</f>
        <v>46374</v>
      </c>
      <c r="H30" s="14" t="s">
        <v>152</v>
      </c>
      <c r="I30" s="25" t="str">
        <f aca="false">IF(AND(I$5&gt;=$E30-6,I$5&lt;=$G30),"■","")</f>
        <v/>
      </c>
      <c r="J30" s="25" t="str">
        <f aca="false">IF(AND(J$5&gt;=$E30-6,J$5&lt;=$G30),"■","")</f>
        <v/>
      </c>
      <c r="K30" s="25" t="str">
        <f aca="false">IF(AND(K$5&gt;=$E30-6,K$5&lt;=$G30),"■","")</f>
        <v/>
      </c>
      <c r="L30" s="25" t="str">
        <f aca="false">IF(AND(L$5&gt;=$E30-6,L$5&lt;=$G30),"■","")</f>
        <v>■</v>
      </c>
      <c r="M30" s="25" t="str">
        <f aca="false">IF(AND(M$5&gt;=$E30-6,M$5&lt;=$G30),"■","")</f>
        <v>■</v>
      </c>
      <c r="N30" s="25" t="str">
        <f aca="false">IF(AND(N$5&gt;=$E30-6,N$5&lt;=$G30),"■","")</f>
        <v>■</v>
      </c>
      <c r="O30" s="25" t="str">
        <f aca="false">IF(AND(O$5&gt;=$E30-6,O$5&lt;=$G30),"■","")</f>
        <v>■</v>
      </c>
      <c r="P30" s="25" t="str">
        <f aca="false">IF(AND(P$5&gt;=$E30-6,P$5&lt;=$G30),"■","")</f>
        <v>■</v>
      </c>
      <c r="Q30" s="25" t="str">
        <f aca="false">IF(AND(Q$5&gt;=$E30-6,Q$5&lt;=$G30),"■","")</f>
        <v>■</v>
      </c>
      <c r="R30" s="25" t="str">
        <f aca="false">IF(AND(R$5&gt;=$E30-6,R$5&lt;=$G30),"■","")</f>
        <v>■</v>
      </c>
      <c r="S30" s="25" t="str">
        <f aca="false">IF(AND(S$5&gt;=$E30-6,S$5&lt;=$G30),"■","")</f>
        <v>■</v>
      </c>
      <c r="T30" s="25" t="str">
        <f aca="false">IF(AND(T$5&gt;=$E30-6,T$5&lt;=$G30),"■","")</f>
        <v/>
      </c>
    </row>
    <row r="31" customFormat="false" ht="15" hidden="false" customHeight="false" outlineLevel="0" collapsed="false">
      <c r="A31" s="14" t="s">
        <v>203</v>
      </c>
      <c r="B31" s="4" t="s">
        <v>204</v>
      </c>
      <c r="C31" s="14" t="s">
        <v>46</v>
      </c>
      <c r="D31" s="4" t="s">
        <v>205</v>
      </c>
      <c r="E31" s="22" t="n">
        <v>46377</v>
      </c>
      <c r="F31" s="23" t="n">
        <v>1</v>
      </c>
      <c r="G31" s="24" t="n">
        <f aca="false">E31+F31*7-3</f>
        <v>46381</v>
      </c>
      <c r="H31" s="14" t="s">
        <v>199</v>
      </c>
      <c r="I31" s="25" t="str">
        <f aca="false">IF(AND(I$5&gt;=$E31-6,I$5&lt;=$G31),"■","")</f>
        <v/>
      </c>
      <c r="J31" s="25" t="str">
        <f aca="false">IF(AND(J$5&gt;=$E31-6,J$5&lt;=$G31),"■","")</f>
        <v/>
      </c>
      <c r="K31" s="25" t="str">
        <f aca="false">IF(AND(K$5&gt;=$E31-6,K$5&lt;=$G31),"■","")</f>
        <v/>
      </c>
      <c r="L31" s="25" t="str">
        <f aca="false">IF(AND(L$5&gt;=$E31-6,L$5&lt;=$G31),"■","")</f>
        <v/>
      </c>
      <c r="M31" s="25" t="str">
        <f aca="false">IF(AND(M$5&gt;=$E31-6,M$5&lt;=$G31),"■","")</f>
        <v/>
      </c>
      <c r="N31" s="25" t="str">
        <f aca="false">IF(AND(N$5&gt;=$E31-6,N$5&lt;=$G31),"■","")</f>
        <v/>
      </c>
      <c r="O31" s="25" t="str">
        <f aca="false">IF(AND(O$5&gt;=$E31-6,O$5&lt;=$G31),"■","")</f>
        <v/>
      </c>
      <c r="P31" s="25" t="str">
        <f aca="false">IF(AND(P$5&gt;=$E31-6,P$5&lt;=$G31),"■","")</f>
        <v/>
      </c>
      <c r="Q31" s="25" t="str">
        <f aca="false">IF(AND(Q$5&gt;=$E31-6,Q$5&lt;=$G31),"■","")</f>
        <v/>
      </c>
      <c r="R31" s="25" t="str">
        <f aca="false">IF(AND(R$5&gt;=$E31-6,R$5&lt;=$G31),"■","")</f>
        <v/>
      </c>
      <c r="S31" s="25" t="str">
        <f aca="false">IF(AND(S$5&gt;=$E31-6,S$5&lt;=$G31),"■","")</f>
        <v/>
      </c>
      <c r="T31" s="25" t="str">
        <f aca="false">IF(AND(T$5&gt;=$E31-6,T$5&lt;=$G31),"■","")</f>
        <v>■</v>
      </c>
    </row>
    <row r="32" customFormat="false" ht="15" hidden="false" customHeight="false" outlineLevel="0" collapsed="false">
      <c r="A32" s="21" t="s">
        <v>206</v>
      </c>
      <c r="B32" s="21" t="s">
        <v>207</v>
      </c>
      <c r="C32" s="21"/>
      <c r="D32" s="21" t="s">
        <v>207</v>
      </c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</row>
    <row r="33" customFormat="false" ht="15" hidden="false" customHeight="false" outlineLevel="0" collapsed="false">
      <c r="A33" s="14" t="s">
        <v>208</v>
      </c>
      <c r="B33" s="4" t="s">
        <v>209</v>
      </c>
      <c r="C33" s="14" t="s">
        <v>210</v>
      </c>
      <c r="D33" s="4" t="s">
        <v>211</v>
      </c>
      <c r="E33" s="22" t="n">
        <v>46311</v>
      </c>
      <c r="F33" s="23" t="n">
        <v>0</v>
      </c>
      <c r="G33" s="24" t="n">
        <f aca="false">E33</f>
        <v>46311</v>
      </c>
      <c r="H33" s="14" t="s">
        <v>170</v>
      </c>
      <c r="I33" s="25" t="str">
        <f aca="false">IF(AND($E33&gt;=I$5,$E33&lt;I$5+7),"◆","")</f>
        <v/>
      </c>
      <c r="J33" s="25" t="str">
        <f aca="false">IF(AND($E33&gt;=J$5,$E33&lt;J$5+7),"◆","")</f>
        <v>◆</v>
      </c>
      <c r="K33" s="25" t="str">
        <f aca="false">IF(AND($E33&gt;=K$5,$E33&lt;K$5+7),"◆","")</f>
        <v/>
      </c>
      <c r="L33" s="25" t="str">
        <f aca="false">IF(AND($E33&gt;=L$5,$E33&lt;L$5+7),"◆","")</f>
        <v/>
      </c>
      <c r="M33" s="25" t="str">
        <f aca="false">IF(AND($E33&gt;=M$5,$E33&lt;M$5+7),"◆","")</f>
        <v/>
      </c>
      <c r="N33" s="25" t="str">
        <f aca="false">IF(AND($E33&gt;=N$5,$E33&lt;N$5+7),"◆","")</f>
        <v/>
      </c>
      <c r="O33" s="25" t="str">
        <f aca="false">IF(AND($E33&gt;=O$5,$E33&lt;O$5+7),"◆","")</f>
        <v/>
      </c>
      <c r="P33" s="25" t="str">
        <f aca="false">IF(AND($E33&gt;=P$5,$E33&lt;P$5+7),"◆","")</f>
        <v/>
      </c>
      <c r="Q33" s="25" t="str">
        <f aca="false">IF(AND($E33&gt;=Q$5,$E33&lt;Q$5+7),"◆","")</f>
        <v/>
      </c>
      <c r="R33" s="25" t="str">
        <f aca="false">IF(AND($E33&gt;=R$5,$E33&lt;R$5+7),"◆","")</f>
        <v/>
      </c>
      <c r="S33" s="25" t="str">
        <f aca="false">IF(AND($E33&gt;=S$5,$E33&lt;S$5+7),"◆","")</f>
        <v/>
      </c>
      <c r="T33" s="25" t="str">
        <f aca="false">IF(AND($E33&gt;=T$5,$E33&lt;T$5+7),"◆","")</f>
        <v/>
      </c>
    </row>
    <row r="34" customFormat="false" ht="15" hidden="false" customHeight="false" outlineLevel="0" collapsed="false">
      <c r="A34" s="14" t="s">
        <v>212</v>
      </c>
      <c r="B34" s="4" t="s">
        <v>213</v>
      </c>
      <c r="C34" s="14" t="s">
        <v>210</v>
      </c>
      <c r="D34" s="4" t="s">
        <v>211</v>
      </c>
      <c r="E34" s="22" t="n">
        <v>46316</v>
      </c>
      <c r="F34" s="23" t="n">
        <v>0</v>
      </c>
      <c r="G34" s="24" t="n">
        <f aca="false">E34</f>
        <v>46316</v>
      </c>
      <c r="H34" s="14" t="s">
        <v>176</v>
      </c>
      <c r="I34" s="25" t="str">
        <f aca="false">IF(AND($E34&gt;=I$5,$E34&lt;I$5+7),"◆","")</f>
        <v/>
      </c>
      <c r="J34" s="25" t="str">
        <f aca="false">IF(AND($E34&gt;=J$5,$E34&lt;J$5+7),"◆","")</f>
        <v/>
      </c>
      <c r="K34" s="25" t="str">
        <f aca="false">IF(AND($E34&gt;=K$5,$E34&lt;K$5+7),"◆","")</f>
        <v>◆</v>
      </c>
      <c r="L34" s="25" t="str">
        <f aca="false">IF(AND($E34&gt;=L$5,$E34&lt;L$5+7),"◆","")</f>
        <v/>
      </c>
      <c r="M34" s="25" t="str">
        <f aca="false">IF(AND($E34&gt;=M$5,$E34&lt;M$5+7),"◆","")</f>
        <v/>
      </c>
      <c r="N34" s="25" t="str">
        <f aca="false">IF(AND($E34&gt;=N$5,$E34&lt;N$5+7),"◆","")</f>
        <v/>
      </c>
      <c r="O34" s="25" t="str">
        <f aca="false">IF(AND($E34&gt;=O$5,$E34&lt;O$5+7),"◆","")</f>
        <v/>
      </c>
      <c r="P34" s="25" t="str">
        <f aca="false">IF(AND($E34&gt;=P$5,$E34&lt;P$5+7),"◆","")</f>
        <v/>
      </c>
      <c r="Q34" s="25" t="str">
        <f aca="false">IF(AND($E34&gt;=Q$5,$E34&lt;Q$5+7),"◆","")</f>
        <v/>
      </c>
      <c r="R34" s="25" t="str">
        <f aca="false">IF(AND($E34&gt;=R$5,$E34&lt;R$5+7),"◆","")</f>
        <v/>
      </c>
      <c r="S34" s="25" t="str">
        <f aca="false">IF(AND($E34&gt;=S$5,$E34&lt;S$5+7),"◆","")</f>
        <v/>
      </c>
      <c r="T34" s="25" t="str">
        <f aca="false">IF(AND($E34&gt;=T$5,$E34&lt;T$5+7),"◆","")</f>
        <v/>
      </c>
    </row>
    <row r="35" customFormat="false" ht="15" hidden="false" customHeight="false" outlineLevel="0" collapsed="false">
      <c r="A35" s="14" t="s">
        <v>214</v>
      </c>
      <c r="B35" s="4" t="s">
        <v>215</v>
      </c>
      <c r="C35" s="14" t="s">
        <v>210</v>
      </c>
      <c r="D35" s="4" t="s">
        <v>211</v>
      </c>
      <c r="E35" s="22" t="n">
        <v>46325</v>
      </c>
      <c r="F35" s="23" t="n">
        <v>0</v>
      </c>
      <c r="G35" s="24" t="n">
        <f aca="false">E35</f>
        <v>46325</v>
      </c>
      <c r="H35" s="14" t="s">
        <v>181</v>
      </c>
      <c r="I35" s="25" t="str">
        <f aca="false">IF(AND($E35&gt;=I$5,$E35&lt;I$5+7),"◆","")</f>
        <v/>
      </c>
      <c r="J35" s="25" t="str">
        <f aca="false">IF(AND($E35&gt;=J$5,$E35&lt;J$5+7),"◆","")</f>
        <v/>
      </c>
      <c r="K35" s="25" t="str">
        <f aca="false">IF(AND($E35&gt;=K$5,$E35&lt;K$5+7),"◆","")</f>
        <v/>
      </c>
      <c r="L35" s="25" t="str">
        <f aca="false">IF(AND($E35&gt;=L$5,$E35&lt;L$5+7),"◆","")</f>
        <v>◆</v>
      </c>
      <c r="M35" s="25" t="str">
        <f aca="false">IF(AND($E35&gt;=M$5,$E35&lt;M$5+7),"◆","")</f>
        <v/>
      </c>
      <c r="N35" s="25" t="str">
        <f aca="false">IF(AND($E35&gt;=N$5,$E35&lt;N$5+7),"◆","")</f>
        <v/>
      </c>
      <c r="O35" s="25" t="str">
        <f aca="false">IF(AND($E35&gt;=O$5,$E35&lt;O$5+7),"◆","")</f>
        <v/>
      </c>
      <c r="P35" s="25" t="str">
        <f aca="false">IF(AND($E35&gt;=P$5,$E35&lt;P$5+7),"◆","")</f>
        <v/>
      </c>
      <c r="Q35" s="25" t="str">
        <f aca="false">IF(AND($E35&gt;=Q$5,$E35&lt;Q$5+7),"◆","")</f>
        <v/>
      </c>
      <c r="R35" s="25" t="str">
        <f aca="false">IF(AND($E35&gt;=R$5,$E35&lt;R$5+7),"◆","")</f>
        <v/>
      </c>
      <c r="S35" s="25" t="str">
        <f aca="false">IF(AND($E35&gt;=S$5,$E35&lt;S$5+7),"◆","")</f>
        <v/>
      </c>
      <c r="T35" s="25" t="str">
        <f aca="false">IF(AND($E35&gt;=T$5,$E35&lt;T$5+7),"◆","")</f>
        <v/>
      </c>
    </row>
    <row r="36" customFormat="false" ht="15" hidden="false" customHeight="false" outlineLevel="0" collapsed="false">
      <c r="A36" s="14" t="s">
        <v>216</v>
      </c>
      <c r="B36" s="4" t="s">
        <v>217</v>
      </c>
      <c r="C36" s="14" t="s">
        <v>210</v>
      </c>
      <c r="D36" s="4" t="s">
        <v>211</v>
      </c>
      <c r="E36" s="22" t="n">
        <v>46353</v>
      </c>
      <c r="F36" s="23" t="n">
        <v>0</v>
      </c>
      <c r="G36" s="24" t="n">
        <f aca="false">E36</f>
        <v>46353</v>
      </c>
      <c r="H36" s="14" t="s">
        <v>193</v>
      </c>
      <c r="I36" s="25" t="str">
        <f aca="false">IF(AND($E36&gt;=I$5,$E36&lt;I$5+7),"◆","")</f>
        <v/>
      </c>
      <c r="J36" s="25" t="str">
        <f aca="false">IF(AND($E36&gt;=J$5,$E36&lt;J$5+7),"◆","")</f>
        <v/>
      </c>
      <c r="K36" s="25" t="str">
        <f aca="false">IF(AND($E36&gt;=K$5,$E36&lt;K$5+7),"◆","")</f>
        <v/>
      </c>
      <c r="L36" s="25" t="str">
        <f aca="false">IF(AND($E36&gt;=L$5,$E36&lt;L$5+7),"◆","")</f>
        <v/>
      </c>
      <c r="M36" s="25" t="str">
        <f aca="false">IF(AND($E36&gt;=M$5,$E36&lt;M$5+7),"◆","")</f>
        <v/>
      </c>
      <c r="N36" s="25" t="str">
        <f aca="false">IF(AND($E36&gt;=N$5,$E36&lt;N$5+7),"◆","")</f>
        <v/>
      </c>
      <c r="O36" s="25" t="str">
        <f aca="false">IF(AND($E36&gt;=O$5,$E36&lt;O$5+7),"◆","")</f>
        <v/>
      </c>
      <c r="P36" s="25" t="str">
        <f aca="false">IF(AND($E36&gt;=P$5,$E36&lt;P$5+7),"◆","")</f>
        <v>◆</v>
      </c>
      <c r="Q36" s="25" t="str">
        <f aca="false">IF(AND($E36&gt;=Q$5,$E36&lt;Q$5+7),"◆","")</f>
        <v/>
      </c>
      <c r="R36" s="25" t="str">
        <f aca="false">IF(AND($E36&gt;=R$5,$E36&lt;R$5+7),"◆","")</f>
        <v/>
      </c>
      <c r="S36" s="25" t="str">
        <f aca="false">IF(AND($E36&gt;=S$5,$E36&lt;S$5+7),"◆","")</f>
        <v/>
      </c>
      <c r="T36" s="25" t="str">
        <f aca="false">IF(AND($E36&gt;=T$5,$E36&lt;T$5+7),"◆","")</f>
        <v/>
      </c>
    </row>
    <row r="37" customFormat="false" ht="15" hidden="false" customHeight="false" outlineLevel="0" collapsed="false">
      <c r="A37" s="14" t="s">
        <v>218</v>
      </c>
      <c r="B37" s="4" t="s">
        <v>219</v>
      </c>
      <c r="C37" s="14" t="s">
        <v>210</v>
      </c>
      <c r="D37" s="4" t="s">
        <v>211</v>
      </c>
      <c r="E37" s="22" t="n">
        <v>46370</v>
      </c>
      <c r="F37" s="23" t="n">
        <v>0</v>
      </c>
      <c r="G37" s="24" t="n">
        <f aca="false">E37</f>
        <v>46370</v>
      </c>
      <c r="H37" s="14" t="s">
        <v>199</v>
      </c>
      <c r="I37" s="25" t="str">
        <f aca="false">IF(AND($E37&gt;=I$5,$E37&lt;I$5+7),"◆","")</f>
        <v/>
      </c>
      <c r="J37" s="25" t="str">
        <f aca="false">IF(AND($E37&gt;=J$5,$E37&lt;J$5+7),"◆","")</f>
        <v/>
      </c>
      <c r="K37" s="25" t="str">
        <f aca="false">IF(AND($E37&gt;=K$5,$E37&lt;K$5+7),"◆","")</f>
        <v/>
      </c>
      <c r="L37" s="25" t="str">
        <f aca="false">IF(AND($E37&gt;=L$5,$E37&lt;L$5+7),"◆","")</f>
        <v/>
      </c>
      <c r="M37" s="25" t="str">
        <f aca="false">IF(AND($E37&gt;=M$5,$E37&lt;M$5+7),"◆","")</f>
        <v/>
      </c>
      <c r="N37" s="25" t="str">
        <f aca="false">IF(AND($E37&gt;=N$5,$E37&lt;N$5+7),"◆","")</f>
        <v/>
      </c>
      <c r="O37" s="25" t="str">
        <f aca="false">IF(AND($E37&gt;=O$5,$E37&lt;O$5+7),"◆","")</f>
        <v/>
      </c>
      <c r="P37" s="25" t="str">
        <f aca="false">IF(AND($E37&gt;=P$5,$E37&lt;P$5+7),"◆","")</f>
        <v/>
      </c>
      <c r="Q37" s="25" t="str">
        <f aca="false">IF(AND($E37&gt;=Q$5,$E37&lt;Q$5+7),"◆","")</f>
        <v/>
      </c>
      <c r="R37" s="25" t="str">
        <f aca="false">IF(AND($E37&gt;=R$5,$E37&lt;R$5+7),"◆","")</f>
        <v/>
      </c>
      <c r="S37" s="25" t="str">
        <f aca="false">IF(AND($E37&gt;=S$5,$E37&lt;S$5+7),"◆","")</f>
        <v>◆</v>
      </c>
      <c r="T37" s="25" t="str">
        <f aca="false">IF(AND($E37&gt;=T$5,$E37&lt;T$5+7),"◆","")</f>
        <v/>
      </c>
    </row>
    <row r="39" customFormat="false" ht="15" hidden="false" customHeight="false" outlineLevel="0" collapsed="false">
      <c r="B39" s="16" t="s">
        <v>220</v>
      </c>
    </row>
    <row r="40" customFormat="false" ht="15" hidden="false" customHeight="false" outlineLevel="0" collapsed="false">
      <c r="B40" s="26" t="s">
        <v>46</v>
      </c>
    </row>
    <row r="41" customFormat="false" ht="15" hidden="false" customHeight="false" outlineLevel="0" collapsed="false">
      <c r="B41" s="27" t="s">
        <v>58</v>
      </c>
    </row>
    <row r="42" customFormat="false" ht="15" hidden="false" customHeight="false" outlineLevel="0" collapsed="false">
      <c r="B42" s="28" t="s">
        <v>64</v>
      </c>
    </row>
    <row r="43" customFormat="false" ht="15" hidden="false" customHeight="false" outlineLevel="0" collapsed="false">
      <c r="B43" s="29" t="s">
        <v>70</v>
      </c>
    </row>
    <row r="44" customFormat="false" ht="15" hidden="false" customHeight="false" outlineLevel="0" collapsed="false">
      <c r="B44" s="30" t="s">
        <v>80</v>
      </c>
    </row>
    <row r="45" customFormat="false" ht="15" hidden="false" customHeight="false" outlineLevel="0" collapsed="false">
      <c r="B45" s="31" t="s">
        <v>210</v>
      </c>
    </row>
    <row r="47" customFormat="false" ht="30" hidden="false" customHeight="true" outlineLevel="0" collapsed="false">
      <c r="B47" s="32" t="s">
        <v>221</v>
      </c>
      <c r="C47" s="32"/>
      <c r="D47" s="32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</row>
    <row r="48" customFormat="false" ht="30" hidden="false" customHeight="true" outlineLevel="0" collapsed="false">
      <c r="B48" s="32" t="s">
        <v>222</v>
      </c>
      <c r="C48" s="32"/>
      <c r="D48" s="32"/>
      <c r="E48" s="3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</row>
  </sheetData>
  <mergeCells count="2">
    <mergeCell ref="B47:T47"/>
    <mergeCell ref="B48:T48"/>
  </mergeCells>
  <conditionalFormatting sqref="I6:T37">
    <cfRule type="expression" priority="2" aboveAverage="0" equalAverage="0" bottom="0" percent="0" rank="0" text="" dxfId="3">
      <formula>AND(I6&lt;&gt;"",$C6="Abraham")</formula>
    </cfRule>
    <cfRule type="expression" priority="3" aboveAverage="0" equalAverage="0" bottom="0" percent="0" rank="0" text="" dxfId="4">
      <formula>AND(I6&lt;&gt;"",$C6="Sebastián")</formula>
    </cfRule>
    <cfRule type="expression" priority="4" aboveAverage="0" equalAverage="0" bottom="0" percent="0" rank="0" text="" dxfId="5">
      <formula>AND(I6&lt;&gt;"",$C6="Lisandra")</formula>
    </cfRule>
    <cfRule type="expression" priority="5" aboveAverage="0" equalAverage="0" bottom="0" percent="0" rank="0" text="" dxfId="6">
      <formula>AND(I6&lt;&gt;"",$C6="Felipe")</formula>
    </cfRule>
    <cfRule type="expression" priority="6" aboveAverage="0" equalAverage="0" bottom="0" percent="0" rank="0" text="" dxfId="7">
      <formula>AND(I6&lt;&gt;"",$C6="Bárbara")</formula>
    </cfRule>
    <cfRule type="expression" priority="7" aboveAverage="0" equalAverage="0" bottom="0" percent="0" rank="0" text="" dxfId="8">
      <formula>AND(I6&lt;&gt;"",$C6="Equipo")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2026-10-19T15:30:25Z</dcterms:created>
  <dc:creator>openpyxl</dc:creator>
  <dc:description/>
  <dc:language>en-US</dc:language>
  <cp:lastModifiedBy/>
  <dcterms:modified xsi:type="dcterms:W3CDTF">2026-10-19T15:30:25Z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